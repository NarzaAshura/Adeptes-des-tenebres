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écap personnages" sheetId="1" state="visible" r:id="rId1"/>
    <sheet xmlns:r="http://schemas.openxmlformats.org/officeDocument/2006/relationships" name="Compétences" sheetId="2" state="visible" r:id="rId2"/>
    <sheet xmlns:r="http://schemas.openxmlformats.org/officeDocument/2006/relationships" name="Équipes Pokémon" sheetId="3" state="visible" r:id="rId3"/>
    <sheet xmlns:r="http://schemas.openxmlformats.org/officeDocument/2006/relationships" name="Lisez-moi" sheetId="4" state="visible" r:id="rId4"/>
    <sheet xmlns:r="http://schemas.openxmlformats.org/officeDocument/2006/relationships" name="Groupes" sheetId="5" state="visible" r:id="rId5"/>
    <sheet xmlns:r="http://schemas.openxmlformats.org/officeDocument/2006/relationships" name="À vérifier" sheetId="6" state="visible" r:id="rId6"/>
  </sheets>
  <definedNames>
    <definedName name="_xlnm._FilterDatabase" localSheetId="0" hidden="1">'Récap personnages'!$A$4:$T$38</definedName>
    <definedName name="_xlnm._FilterDatabase" localSheetId="1" hidden="1">'Compétences'!$A$1:$F$101</definedName>
    <definedName name="_xlnm._FilterDatabase" localSheetId="2" hidden="1">'Équipes Pokémon'!$A$1:$R$115</definedName>
    <definedName name="_xlnm._FilterDatabase" localSheetId="4" hidden="1">'Groupes'!$A$2:$E$35</definedName>
    <definedName name="_xlnm._FilterDatabase" localSheetId="5" hidden="1">'À vérifier'!$A$3:$E$30</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2E2A38"/>
      <sz val="13"/>
    </font>
    <font>
      <name val="Arial"/>
      <charset val="1"/>
      <family val="0"/>
      <sz val="10"/>
    </font>
    <font>
      <name val="Arial"/>
      <charset val="1"/>
      <family val="0"/>
      <i val="1"/>
      <color rgb="FF6B6B7B"/>
      <sz val="9"/>
    </font>
    <font>
      <name val="Arial"/>
      <charset val="1"/>
      <family val="0"/>
      <b val="1"/>
      <color rgb="FFFFFFFF"/>
      <sz val="10"/>
    </font>
    <font>
      <name val="Noto Sans CJK SC"/>
      <family val="2"/>
      <sz val="10"/>
    </font>
    <font>
      <name val="Arial"/>
      <charset val="1"/>
      <family val="0"/>
      <i val="1"/>
      <color rgb="FF8B5A5A"/>
      <sz val="8"/>
    </font>
    <font>
      <name val="Arial"/>
      <charset val="1"/>
      <family val="0"/>
      <b val="1"/>
      <sz val="10"/>
    </font>
    <font>
      <name val="Arial"/>
      <family val="2"/>
      <sz val="10"/>
    </font>
  </fonts>
  <fills count="14">
    <fill>
      <patternFill/>
    </fill>
    <fill>
      <patternFill patternType="gray125"/>
    </fill>
    <fill>
      <patternFill patternType="solid">
        <fgColor rgb="FF2E2A38"/>
        <bgColor rgb="FF333300"/>
      </patternFill>
    </fill>
    <fill>
      <patternFill patternType="solid">
        <fgColor rgb="FFFBE0D0"/>
        <bgColor rgb="FFFFE0E0"/>
      </patternFill>
    </fill>
    <fill>
      <patternFill patternType="solid">
        <fgColor rgb="FFFFF2CC"/>
        <bgColor rgb="FFFFF6D5"/>
      </patternFill>
    </fill>
    <fill>
      <patternFill patternType="solid">
        <fgColor rgb="FFD6E7F5"/>
        <bgColor rgb="FFDCEEDA"/>
      </patternFill>
    </fill>
    <fill>
      <patternFill patternType="solid">
        <fgColor rgb="FFE3DAEF"/>
        <bgColor rgb="FFD9D6E0"/>
      </patternFill>
    </fill>
    <fill>
      <patternFill patternType="solid">
        <fgColor rgb="FFDCEEDA"/>
        <bgColor rgb="FFDFF0D8"/>
      </patternFill>
    </fill>
    <fill>
      <patternFill patternType="solid">
        <fgColor rgb="FFEDEDED"/>
        <bgColor rgb="FFE8EEF7"/>
      </patternFill>
    </fill>
    <fill>
      <patternFill patternType="solid">
        <fgColor rgb="FFF2F0F6"/>
        <bgColor rgb="FFEDEDED"/>
      </patternFill>
    </fill>
    <fill>
      <patternFill patternType="solid">
        <fgColor rgb="FFE8EEF7"/>
        <bgColor rgb="FFEDEDED"/>
      </patternFill>
    </fill>
    <fill>
      <patternFill patternType="solid">
        <fgColor rgb="FFFFF6D5"/>
        <bgColor rgb="FFFFF2CC"/>
      </patternFill>
    </fill>
    <fill>
      <patternFill patternType="solid">
        <fgColor rgb="FFF5E1E1"/>
        <bgColor rgb="FFFFE0E0"/>
      </patternFill>
    </fill>
    <fill>
      <patternFill patternType="solid">
        <fgColor rgb="FFDFF0D8"/>
        <bgColor rgb="FFDCEEDA"/>
      </patternFill>
    </fill>
  </fills>
  <borders count="2">
    <border>
      <left/>
      <right/>
      <top/>
      <bottom/>
      <diagonal/>
    </border>
    <border>
      <left style="thin">
        <color rgb="FFD9D6E0"/>
      </left>
      <right style="thin">
        <color rgb="FFD9D6E0"/>
      </right>
      <top style="thin">
        <color rgb="FFD9D6E0"/>
      </top>
      <bottom style="thin">
        <color rgb="FFD9D6E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7" fillId="2" borderId="1" applyAlignment="1" pivotButton="0" quotePrefix="0" xfId="0">
      <alignment horizontal="center" vertical="center" wrapText="1"/>
    </xf>
    <xf numFmtId="0" fontId="5" fillId="3" borderId="1" applyAlignment="1" pivotButton="0" quotePrefix="0" xfId="0">
      <alignment horizontal="center" vertical="center"/>
    </xf>
    <xf numFmtId="0" fontId="5" fillId="3" borderId="1" applyAlignment="1" pivotButton="0" quotePrefix="0" xfId="0">
      <alignment horizontal="general" vertical="center"/>
    </xf>
    <xf numFmtId="0" fontId="5" fillId="4" borderId="1" applyAlignment="1" pivotButton="0" quotePrefix="0" xfId="0">
      <alignment horizontal="general" vertical="center"/>
    </xf>
    <xf numFmtId="0" fontId="5" fillId="3" borderId="1" applyAlignment="1" pivotButton="0" quotePrefix="0" xfId="0">
      <alignment horizontal="general" vertical="center"/>
    </xf>
    <xf numFmtId="0" fontId="5" fillId="5" borderId="1" applyAlignment="1" pivotButton="0" quotePrefix="0" xfId="0">
      <alignment horizontal="center" vertical="center"/>
    </xf>
    <xf numFmtId="0" fontId="5" fillId="5" borderId="1" applyAlignment="1" pivotButton="0" quotePrefix="0" xfId="0">
      <alignment horizontal="general" vertical="center"/>
    </xf>
    <xf numFmtId="0" fontId="5" fillId="5" borderId="1" applyAlignment="1" pivotButton="0" quotePrefix="0" xfId="0">
      <alignment horizontal="general" vertical="center"/>
    </xf>
    <xf numFmtId="0" fontId="5" fillId="6" borderId="1" applyAlignment="1" pivotButton="0" quotePrefix="0" xfId="0">
      <alignment horizontal="center" vertical="center"/>
    </xf>
    <xf numFmtId="0" fontId="5" fillId="6" borderId="1" applyAlignment="1" pivotButton="0" quotePrefix="0" xfId="0">
      <alignment horizontal="general" vertical="center"/>
    </xf>
    <xf numFmtId="0" fontId="5" fillId="6" borderId="1" applyAlignment="1" pivotButton="0" quotePrefix="0" xfId="0">
      <alignment horizontal="general" vertical="center"/>
    </xf>
    <xf numFmtId="0" fontId="5" fillId="7" borderId="1" applyAlignment="1" pivotButton="0" quotePrefix="0" xfId="0">
      <alignment horizontal="center" vertical="center"/>
    </xf>
    <xf numFmtId="0" fontId="5" fillId="7" borderId="1" applyAlignment="1" pivotButton="0" quotePrefix="0" xfId="0">
      <alignment horizontal="general" vertical="center"/>
    </xf>
    <xf numFmtId="0" fontId="5" fillId="7" borderId="1" applyAlignment="1" pivotButton="0" quotePrefix="0" xfId="0">
      <alignment horizontal="general" vertical="center"/>
    </xf>
    <xf numFmtId="0" fontId="5" fillId="8" borderId="1" applyAlignment="1" pivotButton="0" quotePrefix="0" xfId="0">
      <alignment horizontal="center" vertical="center"/>
    </xf>
    <xf numFmtId="0" fontId="5" fillId="8" borderId="1" applyAlignment="1" pivotButton="0" quotePrefix="0" xfId="0">
      <alignment horizontal="general" vertical="center"/>
    </xf>
    <xf numFmtId="0" fontId="5" fillId="8" borderId="1" applyAlignment="1" pivotButton="0" quotePrefix="0" xfId="0">
      <alignment horizontal="general" vertical="center"/>
    </xf>
    <xf numFmtId="0" fontId="9" fillId="7" borderId="1" applyAlignment="1" pivotButton="0" quotePrefix="0" xfId="0">
      <alignment horizontal="center" vertical="center"/>
    </xf>
    <xf numFmtId="0" fontId="7" fillId="2" borderId="1" applyAlignment="1" pivotButton="0" quotePrefix="0" xfId="0">
      <alignment horizontal="general" vertical="center"/>
    </xf>
    <xf numFmtId="0" fontId="5" fillId="0" borderId="1" applyAlignment="1" pivotButton="0" quotePrefix="0" xfId="0">
      <alignment horizontal="general" vertical="center"/>
    </xf>
    <xf numFmtId="0" fontId="10" fillId="0" borderId="0" applyAlignment="1" pivotButton="0" quotePrefix="0" xfId="0">
      <alignment horizontal="general" vertical="bottom"/>
    </xf>
    <xf numFmtId="0" fontId="5" fillId="3" borderId="1" applyAlignment="1" pivotButton="0" quotePrefix="0" xfId="0">
      <alignment horizontal="general" vertical="bottom"/>
    </xf>
    <xf numFmtId="0" fontId="5" fillId="5" borderId="1" applyAlignment="1" pivotButton="0" quotePrefix="0" xfId="0">
      <alignment horizontal="general" vertical="bottom"/>
    </xf>
    <xf numFmtId="0" fontId="5" fillId="7" borderId="1" applyAlignment="1" pivotButton="0" quotePrefix="0" xfId="0">
      <alignment horizontal="general" vertical="bottom"/>
    </xf>
    <xf numFmtId="0" fontId="5" fillId="6" borderId="1" applyAlignment="1" pivotButton="0" quotePrefix="0" xfId="0">
      <alignment horizontal="general" vertical="bottom"/>
    </xf>
    <xf numFmtId="0" fontId="5" fillId="8" borderId="1" applyAlignment="1" pivotButton="0" quotePrefix="0" xfId="0">
      <alignment horizontal="general" vertical="bottom"/>
    </xf>
    <xf numFmtId="0" fontId="7" fillId="2" borderId="1" applyAlignment="1" pivotButton="0" quotePrefix="0" xfId="0">
      <alignment horizontal="general" vertical="bottom"/>
    </xf>
    <xf numFmtId="0" fontId="5" fillId="4" borderId="1" applyAlignment="1" pivotButton="0" quotePrefix="0" xfId="0">
      <alignment horizontal="general" vertical="bottom"/>
    </xf>
    <xf numFmtId="0" fontId="4" fillId="2" borderId="1" applyAlignment="1" pivotButton="0" quotePrefix="0" xfId="0">
      <alignment horizontal="center" vertical="center" wrapText="1"/>
    </xf>
    <xf numFmtId="0" fontId="5" fillId="9" borderId="1" applyAlignment="1" pivotButton="0" quotePrefix="0" xfId="0">
      <alignment horizontal="general" vertical="center"/>
    </xf>
    <xf numFmtId="0" fontId="5" fillId="10" borderId="1" applyAlignment="1" pivotButton="0" quotePrefix="0" xfId="0">
      <alignment horizontal="general" vertical="center"/>
    </xf>
    <xf numFmtId="0" fontId="5" fillId="11" borderId="1" applyAlignment="1" pivotButton="0" quotePrefix="0" xfId="0">
      <alignment horizontal="general" vertical="center"/>
    </xf>
    <xf numFmtId="0" fontId="5" fillId="0" borderId="0" applyAlignment="1" pivotButton="0" quotePrefix="0" xfId="0">
      <alignment horizontal="general" vertical="bottom"/>
    </xf>
    <xf numFmtId="0" fontId="5" fillId="12" borderId="1" applyAlignment="1" pivotButton="0" quotePrefix="0" xfId="0">
      <alignment horizontal="general" vertical="center"/>
    </xf>
    <xf numFmtId="0" fontId="10" fillId="0" borderId="1" applyAlignment="1" pivotButton="0" quotePrefix="0" xfId="0">
      <alignment horizontal="general" vertical="center"/>
    </xf>
    <xf numFmtId="0" fontId="5" fillId="13" borderId="1" applyAlignment="1" pivotButton="0" quotePrefix="0" xfId="0">
      <alignment horizontal="general"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7" fillId="2" borderId="1" applyAlignment="1" pivotButton="0" quotePrefix="0" xfId="0">
      <alignment horizontal="center" vertical="center" wrapText="1"/>
    </xf>
    <xf numFmtId="0" fontId="5" fillId="3" borderId="1" applyAlignment="1" pivotButton="0" quotePrefix="0" xfId="0">
      <alignment horizontal="center" vertical="center"/>
    </xf>
    <xf numFmtId="0" fontId="5" fillId="3" borderId="1" applyAlignment="1" pivotButton="0" quotePrefix="0" xfId="0">
      <alignment horizontal="general" vertical="center"/>
    </xf>
    <xf numFmtId="0" fontId="5" fillId="4" borderId="1" applyAlignment="1" pivotButton="0" quotePrefix="0" xfId="0">
      <alignment horizontal="general" vertical="center"/>
    </xf>
    <xf numFmtId="0" fontId="5" fillId="5" borderId="1" applyAlignment="1" pivotButton="0" quotePrefix="0" xfId="0">
      <alignment horizontal="center" vertical="center"/>
    </xf>
    <xf numFmtId="0" fontId="5" fillId="5" borderId="1" applyAlignment="1" pivotButton="0" quotePrefix="0" xfId="0">
      <alignment horizontal="general" vertical="center"/>
    </xf>
    <xf numFmtId="0" fontId="5" fillId="6" borderId="1" applyAlignment="1" pivotButton="0" quotePrefix="0" xfId="0">
      <alignment horizontal="center" vertical="center"/>
    </xf>
    <xf numFmtId="0" fontId="5" fillId="6" borderId="1" applyAlignment="1" pivotButton="0" quotePrefix="0" xfId="0">
      <alignment horizontal="general" vertical="center"/>
    </xf>
    <xf numFmtId="0" fontId="5" fillId="7" borderId="1" applyAlignment="1" pivotButton="0" quotePrefix="0" xfId="0">
      <alignment horizontal="center" vertical="center"/>
    </xf>
    <xf numFmtId="0" fontId="5" fillId="7" borderId="1" applyAlignment="1" pivotButton="0" quotePrefix="0" xfId="0">
      <alignment horizontal="general" vertical="center"/>
    </xf>
    <xf numFmtId="0" fontId="5" fillId="8" borderId="1" applyAlignment="1" pivotButton="0" quotePrefix="0" xfId="0">
      <alignment horizontal="center" vertical="center"/>
    </xf>
    <xf numFmtId="0" fontId="5" fillId="8" borderId="1" applyAlignment="1" pivotButton="0" quotePrefix="0" xfId="0">
      <alignment horizontal="general" vertical="center"/>
    </xf>
    <xf numFmtId="0" fontId="9" fillId="7" borderId="1" applyAlignment="1" pivotButton="0" quotePrefix="0" xfId="0">
      <alignment horizontal="center" vertical="center"/>
    </xf>
    <xf numFmtId="0" fontId="7" fillId="2" borderId="1" applyAlignment="1" pivotButton="0" quotePrefix="0" xfId="0">
      <alignment horizontal="general" vertical="center"/>
    </xf>
    <xf numFmtId="0" fontId="5" fillId="0" borderId="1" applyAlignment="1" pivotButton="0" quotePrefix="0" xfId="0">
      <alignment horizontal="general" vertical="center"/>
    </xf>
    <xf numFmtId="0" fontId="10" fillId="0" borderId="0" applyAlignment="1" pivotButton="0" quotePrefix="0" xfId="0">
      <alignment horizontal="general" vertical="bottom"/>
    </xf>
    <xf numFmtId="0" fontId="5" fillId="3" borderId="1" applyAlignment="1" pivotButton="0" quotePrefix="0" xfId="0">
      <alignment horizontal="general" vertical="bottom"/>
    </xf>
    <xf numFmtId="0" fontId="5" fillId="5" borderId="1" applyAlignment="1" pivotButton="0" quotePrefix="0" xfId="0">
      <alignment horizontal="general" vertical="bottom"/>
    </xf>
    <xf numFmtId="0" fontId="5" fillId="7" borderId="1" applyAlignment="1" pivotButton="0" quotePrefix="0" xfId="0">
      <alignment horizontal="general" vertical="bottom"/>
    </xf>
    <xf numFmtId="0" fontId="5" fillId="6" borderId="1" applyAlignment="1" pivotButton="0" quotePrefix="0" xfId="0">
      <alignment horizontal="general" vertical="bottom"/>
    </xf>
    <xf numFmtId="0" fontId="5" fillId="8" borderId="1" applyAlignment="1" pivotButton="0" quotePrefix="0" xfId="0">
      <alignment horizontal="general" vertical="bottom"/>
    </xf>
    <xf numFmtId="0" fontId="7" fillId="2" borderId="1" applyAlignment="1" pivotButton="0" quotePrefix="0" xfId="0">
      <alignment horizontal="general" vertical="bottom"/>
    </xf>
    <xf numFmtId="0" fontId="5" fillId="4" borderId="1" applyAlignment="1" pivotButton="0" quotePrefix="0" xfId="0">
      <alignment horizontal="general" vertical="bottom"/>
    </xf>
    <xf numFmtId="0" fontId="4" fillId="2" borderId="1" applyAlignment="1" pivotButton="0" quotePrefix="0" xfId="0">
      <alignment horizontal="center" vertical="center" wrapText="1"/>
    </xf>
    <xf numFmtId="0" fontId="5" fillId="9" borderId="1" applyAlignment="1" pivotButton="0" quotePrefix="0" xfId="0">
      <alignment horizontal="general" vertical="center"/>
    </xf>
    <xf numFmtId="0" fontId="5" fillId="10" borderId="1" applyAlignment="1" pivotButton="0" quotePrefix="0" xfId="0">
      <alignment horizontal="general" vertical="center"/>
    </xf>
    <xf numFmtId="0" fontId="5" fillId="11" borderId="1" applyAlignment="1" pivotButton="0" quotePrefix="0" xfId="0">
      <alignment horizontal="general" vertical="center"/>
    </xf>
    <xf numFmtId="0" fontId="5" fillId="0" borderId="0" applyAlignment="1" pivotButton="0" quotePrefix="0" xfId="0">
      <alignment horizontal="general" vertical="bottom"/>
    </xf>
    <xf numFmtId="0" fontId="5" fillId="12" borderId="1" applyAlignment="1" pivotButton="0" quotePrefix="0" xfId="0">
      <alignment horizontal="general" vertical="center"/>
    </xf>
    <xf numFmtId="0" fontId="10" fillId="0" borderId="1" applyAlignment="1" pivotButton="0" quotePrefix="0" xfId="0">
      <alignment horizontal="general" vertical="center"/>
    </xf>
    <xf numFmtId="0" fontId="5" fillId="13" borderId="1" applyAlignment="1" pivotButton="0" quotePrefix="0" xfId="0">
      <alignment horizontal="general"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6">
    <dxf>
      <fill>
        <patternFill patternType="solid">
          <fgColor rgb="FF2E2A38"/>
          <bgColor rgb="FF000000"/>
        </patternFill>
      </fill>
    </dxf>
    <dxf>
      <fill>
        <patternFill patternType="solid">
          <fgColor rgb="FFD6E7F5"/>
          <bgColor rgb="FF000000"/>
        </patternFill>
      </fill>
    </dxf>
    <dxf>
      <fill>
        <patternFill patternType="solid">
          <fgColor rgb="FFDCEEDA"/>
          <bgColor rgb="FF000000"/>
        </patternFill>
      </fill>
    </dxf>
    <dxf>
      <fill>
        <patternFill patternType="solid">
          <fgColor rgb="FFE3DAEF"/>
          <bgColor rgb="FF000000"/>
        </patternFill>
      </fill>
    </dxf>
    <dxf>
      <fill>
        <patternFill patternType="solid">
          <fgColor rgb="FFEDEDED"/>
          <bgColor rgb="FF000000"/>
        </patternFill>
      </fill>
    </dxf>
    <dxf>
      <fill>
        <patternFill patternType="solid">
          <fgColor rgb="FFFBE0D0"/>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00"/>
          <bgColor rgb="FF000000"/>
        </patternFill>
      </fill>
    </dxf>
    <dxf>
      <font>
        <name val="Arial"/>
        <charset val="1"/>
        <family val="0"/>
        <b val="1"/>
        <color rgb="FFC00000"/>
        <sz val="10"/>
      </font>
      <fill>
        <patternFill>
          <bgColor rgb="FFFFE0E0"/>
        </patternFill>
      </fill>
    </dxf>
    <dxf>
      <fill>
        <patternFill patternType="solid">
          <fgColor rgb="FFF2F0F6"/>
          <bgColor rgb="FF000000"/>
        </patternFill>
      </fill>
    </dxf>
    <dxf>
      <fill>
        <patternFill patternType="solid">
          <fgColor rgb="FFE8EEF7"/>
          <bgColor rgb="FF000000"/>
        </patternFill>
      </fill>
    </dxf>
    <dxf>
      <fill>
        <patternFill patternType="solid">
          <fgColor rgb="FFFFF6D5"/>
          <bgColor rgb="FF000000"/>
        </patternFill>
      </fill>
    </dxf>
    <dxf>
      <fill>
        <patternFill patternType="solid">
          <fgColor rgb="FFF5E1E1"/>
          <bgColor rgb="FF000000"/>
        </patternFill>
      </fill>
    </dxf>
    <dxf>
      <fill>
        <patternFill patternType="solid">
          <fgColor rgb="FFDFF0D8"/>
          <bgColor rgb="FF000000"/>
        </patternFill>
      </fill>
    </dxf>
  </dxfs>
  <colors>
    <indexedColors>
      <rgbColor rgb="FF000000"/>
      <rgbColor rgb="FFFFFFFF"/>
      <rgbColor rgb="FFC00000"/>
      <rgbColor rgb="FF00FF00"/>
      <rgbColor rgb="FF0000FF"/>
      <rgbColor rgb="FFF2F0F6"/>
      <rgbColor rgb="FFFF00FF"/>
      <rgbColor rgb="FF00FFFF"/>
      <rgbColor rgb="FF800000"/>
      <rgbColor rgb="FF008000"/>
      <rgbColor rgb="FF000080"/>
      <rgbColor rgb="FF808000"/>
      <rgbColor rgb="FF800080"/>
      <rgbColor rgb="FF008080"/>
      <rgbColor rgb="FFE3DAEF"/>
      <rgbColor rgb="FF808080"/>
      <rgbColor rgb="FFEDEDED"/>
      <rgbColor rgb="FF8B5A5A"/>
      <rgbColor rgb="FFFFF6D5"/>
      <rgbColor rgb="FFD6E7F5"/>
      <rgbColor rgb="FF660066"/>
      <rgbColor rgb="FFFF8080"/>
      <rgbColor rgb="FF0066CC"/>
      <rgbColor rgb="FFD9D6E0"/>
      <rgbColor rgb="FF000080"/>
      <rgbColor rgb="FFFF00FF"/>
      <rgbColor rgb="FFFFFF00"/>
      <rgbColor rgb="FF00FFFF"/>
      <rgbColor rgb="FF800080"/>
      <rgbColor rgb="FF800000"/>
      <rgbColor rgb="FF008080"/>
      <rgbColor rgb="FF0000FF"/>
      <rgbColor rgb="FF00CCFF"/>
      <rgbColor rgb="FFDCEEDA"/>
      <rgbColor rgb="FFDFF0D8"/>
      <rgbColor rgb="FFFFF2CC"/>
      <rgbColor rgb="FFE8EEF7"/>
      <rgbColor rgb="FFFFE0E0"/>
      <rgbColor rgb="FFF5E1E1"/>
      <rgbColor rgb="FFFBE0D0"/>
      <rgbColor rgb="FF3366FF"/>
      <rgbColor rgb="FF33CCCC"/>
      <rgbColor rgb="FF99CC00"/>
      <rgbColor rgb="FFFFCC00"/>
      <rgbColor rgb="FFFF9900"/>
      <rgbColor rgb="FFFF6600"/>
      <rgbColor rgb="FF6B6B7B"/>
      <rgbColor rgb="FF969696"/>
      <rgbColor rgb="FF003366"/>
      <rgbColor rgb="FF339966"/>
      <rgbColor rgb="FF003300"/>
      <rgbColor rgb="FF333300"/>
      <rgbColor rgb="FF993300"/>
      <rgbColor rgb="FF993366"/>
      <rgbColor rgb="FF333399"/>
      <rgbColor rgb="FF2E2A38"/>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Unknown Author</author>
  </authors>
  <commentList>
    <comment ref="A26" authorId="0" shapeId="0">
      <text>
        <t>Ren — persona masculine : combat rapproché, technique, armes blanches. C'est la voix de la secte.
Occupe la colonne « cultiste ».</t>
      </text>
    </comment>
    <comment ref="B26" authorId="0" shapeId="0">
      <text>
        <t>Run — persona féminine : scène, idol, Johto-pop et Kanto-pop. C'est la voix douce, hors secte.
Occupe la colonne « civil ».</t>
      </text>
    </comment>
  </commentList>
</comment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24</xdr:row>
      <xdr:rowOff>0</xdr:rowOff>
    </xdr:from>
    <xdr:to>
      <xdr:col>0</xdr:col>
      <xdr:colOff>602280</xdr:colOff>
      <xdr:row>24</xdr:row>
      <xdr:rowOff>602280</xdr:rowOff>
    </xdr:to>
    <xdr:pic>
      <xdr:nvPicPr>
        <xdr:cNvPr id="0" name="Image 1" descr="Picture"/>
        <xdr:cNvPicPr/>
      </xdr:nvPicPr>
      <xdr:blipFill>
        <a:blip r:embed="rId1"/>
        <a:stretch/>
      </xdr:blipFill>
      <xdr:spPr>
        <a:xfrm>
          <a:off x="0" y="13554000"/>
          <a:ext cx="602280" cy="602280"/>
        </a:xfrm>
        <a:prstGeom prst="rect">
          <a:avLst/>
        </a:prstGeom>
        <a:ln w="0">
          <a:noFill/>
        </a:ln>
      </xdr:spPr>
    </xdr:pic>
    <xdr:clientData/>
  </xdr:twoCellAnchor>
  <xdr:twoCellAnchor editAs="oneCell">
    <xdr:from>
      <xdr:col>1</xdr:col>
      <xdr:colOff>0</xdr:colOff>
      <xdr:row>24</xdr:row>
      <xdr:rowOff>0</xdr:rowOff>
    </xdr:from>
    <xdr:to>
      <xdr:col>1</xdr:col>
      <xdr:colOff>602640</xdr:colOff>
      <xdr:row>24</xdr:row>
      <xdr:rowOff>602640</xdr:rowOff>
    </xdr:to>
    <xdr:pic>
      <xdr:nvPicPr>
        <xdr:cNvPr id="1" name="Image 2" descr="Picture"/>
        <xdr:cNvPicPr/>
      </xdr:nvPicPr>
      <xdr:blipFill>
        <a:blip r:embed="rId2"/>
        <a:stretch/>
      </xdr:blipFill>
      <xdr:spPr>
        <a:xfrm>
          <a:off x="775440" y="13554000"/>
          <a:ext cx="602640" cy="602640"/>
        </a:xfrm>
        <a:prstGeom prst="rect">
          <a:avLst/>
        </a:prstGeom>
        <a:ln w="0">
          <a:noFill/>
        </a:ln>
      </xdr:spPr>
    </xdr:pic>
    <xdr:clientData/>
  </xdr:twoCellAnchor>
  <xdr:twoCellAnchor editAs="oneCell">
    <xdr:from>
      <xdr:col>0</xdr:col>
      <xdr:colOff>0</xdr:colOff>
      <xdr:row>25</xdr:row>
      <xdr:rowOff>0</xdr:rowOff>
    </xdr:from>
    <xdr:to>
      <xdr:col>0</xdr:col>
      <xdr:colOff>603720</xdr:colOff>
      <xdr:row>25</xdr:row>
      <xdr:rowOff>603720</xdr:rowOff>
    </xdr:to>
    <xdr:pic>
      <xdr:nvPicPr>
        <xdr:cNvPr id="2" name="Image 3" descr="Picture"/>
        <xdr:cNvPicPr/>
      </xdr:nvPicPr>
      <xdr:blipFill>
        <a:blip r:embed="rId3"/>
        <a:stretch/>
      </xdr:blipFill>
      <xdr:spPr>
        <a:xfrm>
          <a:off x="0" y="14182560"/>
          <a:ext cx="603720" cy="603720"/>
        </a:xfrm>
        <a:prstGeom prst="rect">
          <a:avLst/>
        </a:prstGeom>
        <a:ln w="0">
          <a:noFill/>
        </a:ln>
      </xdr:spPr>
    </xdr:pic>
    <xdr:clientData/>
  </xdr:twoCellAnchor>
  <xdr:twoCellAnchor editAs="oneCell">
    <xdr:from>
      <xdr:col>1</xdr:col>
      <xdr:colOff>0</xdr:colOff>
      <xdr:row>25</xdr:row>
      <xdr:rowOff>0</xdr:rowOff>
    </xdr:from>
    <xdr:to>
      <xdr:col>1</xdr:col>
      <xdr:colOff>603720</xdr:colOff>
      <xdr:row>25</xdr:row>
      <xdr:rowOff>603720</xdr:rowOff>
    </xdr:to>
    <xdr:pic>
      <xdr:nvPicPr>
        <xdr:cNvPr id="3" name="Image 4" descr="Picture"/>
        <xdr:cNvPicPr/>
      </xdr:nvPicPr>
      <xdr:blipFill>
        <a:blip r:embed="rId4"/>
        <a:stretch/>
      </xdr:blipFill>
      <xdr:spPr>
        <a:xfrm>
          <a:off x="775440" y="14182560"/>
          <a:ext cx="603720" cy="603720"/>
        </a:xfrm>
        <a:prstGeom prst="rect">
          <a:avLst/>
        </a:prstGeom>
        <a:ln w="0">
          <a:noFill/>
        </a:ln>
      </xdr:spPr>
    </xdr:pic>
    <xdr:clientData/>
  </xdr:twoCellAnchor>
  <xdr:twoCellAnchor editAs="oneCell">
    <xdr:from>
      <xdr:col>1</xdr:col>
      <xdr:colOff>0</xdr:colOff>
      <xdr:row>26</xdr:row>
      <xdr:rowOff>0</xdr:rowOff>
    </xdr:from>
    <xdr:to>
      <xdr:col>1</xdr:col>
      <xdr:colOff>604080</xdr:colOff>
      <xdr:row>26</xdr:row>
      <xdr:rowOff>604080</xdr:rowOff>
    </xdr:to>
    <xdr:pic>
      <xdr:nvPicPr>
        <xdr:cNvPr id="4" name="Image 6" descr="Picture"/>
        <xdr:cNvPicPr/>
      </xdr:nvPicPr>
      <xdr:blipFill>
        <a:blip r:embed="rId5"/>
        <a:stretch/>
      </xdr:blipFill>
      <xdr:spPr>
        <a:xfrm>
          <a:off x="775440" y="14811480"/>
          <a:ext cx="604080" cy="604080"/>
        </a:xfrm>
        <a:prstGeom prst="rect">
          <a:avLst/>
        </a:prstGeom>
        <a:ln w="0">
          <a:noFill/>
        </a:ln>
      </xdr:spPr>
    </xdr:pic>
    <xdr:clientData/>
  </xdr:twoCellAnchor>
  <xdr:twoCellAnchor editAs="oneCell">
    <xdr:from>
      <xdr:col>1</xdr:col>
      <xdr:colOff>0</xdr:colOff>
      <xdr:row>15</xdr:row>
      <xdr:rowOff>0</xdr:rowOff>
    </xdr:from>
    <xdr:to>
      <xdr:col>1</xdr:col>
      <xdr:colOff>604080</xdr:colOff>
      <xdr:row>15</xdr:row>
      <xdr:rowOff>604080</xdr:rowOff>
    </xdr:to>
    <xdr:pic>
      <xdr:nvPicPr>
        <xdr:cNvPr id="5" name="Image 8" descr="Picture"/>
        <xdr:cNvPicPr/>
      </xdr:nvPicPr>
      <xdr:blipFill>
        <a:blip r:embed="rId6"/>
        <a:stretch/>
      </xdr:blipFill>
      <xdr:spPr>
        <a:xfrm>
          <a:off x="775440" y="7896240"/>
          <a:ext cx="604080" cy="604080"/>
        </a:xfrm>
        <a:prstGeom prst="rect">
          <a:avLst/>
        </a:prstGeom>
        <a:ln w="0">
          <a:noFill/>
        </a:ln>
      </xdr:spPr>
    </xdr:pic>
    <xdr:clientData/>
  </xdr:twoCellAnchor>
  <xdr:twoCellAnchor editAs="oneCell">
    <xdr:from>
      <xdr:col>0</xdr:col>
      <xdr:colOff>0</xdr:colOff>
      <xdr:row>10</xdr:row>
      <xdr:rowOff>0</xdr:rowOff>
    </xdr:from>
    <xdr:to>
      <xdr:col>0</xdr:col>
      <xdr:colOff>604440</xdr:colOff>
      <xdr:row>10</xdr:row>
      <xdr:rowOff>604440</xdr:rowOff>
    </xdr:to>
    <xdr:pic>
      <xdr:nvPicPr>
        <xdr:cNvPr id="6" name="Image 9" descr="Picture"/>
        <xdr:cNvPicPr/>
      </xdr:nvPicPr>
      <xdr:blipFill>
        <a:blip r:embed="rId7"/>
        <a:stretch/>
      </xdr:blipFill>
      <xdr:spPr>
        <a:xfrm>
          <a:off x="0" y="4753080"/>
          <a:ext cx="604440" cy="604440"/>
        </a:xfrm>
        <a:prstGeom prst="rect">
          <a:avLst/>
        </a:prstGeom>
        <a:ln w="0">
          <a:noFill/>
        </a:ln>
      </xdr:spPr>
    </xdr:pic>
    <xdr:clientData/>
  </xdr:twoCellAnchor>
  <xdr:twoCellAnchor editAs="oneCell">
    <xdr:from>
      <xdr:col>1</xdr:col>
      <xdr:colOff>0</xdr:colOff>
      <xdr:row>10</xdr:row>
      <xdr:rowOff>0</xdr:rowOff>
    </xdr:from>
    <xdr:to>
      <xdr:col>1</xdr:col>
      <xdr:colOff>604440</xdr:colOff>
      <xdr:row>10</xdr:row>
      <xdr:rowOff>604440</xdr:rowOff>
    </xdr:to>
    <xdr:pic>
      <xdr:nvPicPr>
        <xdr:cNvPr id="7" name="Image 10" descr="Picture"/>
        <xdr:cNvPicPr/>
      </xdr:nvPicPr>
      <xdr:blipFill>
        <a:blip r:embed="rId8"/>
        <a:stretch/>
      </xdr:blipFill>
      <xdr:spPr>
        <a:xfrm>
          <a:off x="775440" y="4753080"/>
          <a:ext cx="604440" cy="604440"/>
        </a:xfrm>
        <a:prstGeom prst="rect">
          <a:avLst/>
        </a:prstGeom>
        <a:ln w="0">
          <a:noFill/>
        </a:ln>
      </xdr:spPr>
    </xdr:pic>
    <xdr:clientData/>
  </xdr:twoCellAnchor>
  <xdr:twoCellAnchor editAs="oneCell">
    <xdr:from>
      <xdr:col>0</xdr:col>
      <xdr:colOff>0</xdr:colOff>
      <xdr:row>6</xdr:row>
      <xdr:rowOff>0</xdr:rowOff>
    </xdr:from>
    <xdr:to>
      <xdr:col>0</xdr:col>
      <xdr:colOff>604440</xdr:colOff>
      <xdr:row>6</xdr:row>
      <xdr:rowOff>604440</xdr:rowOff>
    </xdr:to>
    <xdr:pic>
      <xdr:nvPicPr>
        <xdr:cNvPr id="8" name="Image 11" descr="Picture"/>
        <xdr:cNvPicPr/>
      </xdr:nvPicPr>
      <xdr:blipFill>
        <a:blip r:embed="rId9"/>
        <a:stretch/>
      </xdr:blipFill>
      <xdr:spPr>
        <a:xfrm>
          <a:off x="0" y="2238480"/>
          <a:ext cx="604440" cy="604440"/>
        </a:xfrm>
        <a:prstGeom prst="rect">
          <a:avLst/>
        </a:prstGeom>
        <a:ln w="0">
          <a:noFill/>
        </a:ln>
      </xdr:spPr>
    </xdr:pic>
    <xdr:clientData/>
  </xdr:twoCellAnchor>
  <xdr:twoCellAnchor editAs="oneCell">
    <xdr:from>
      <xdr:col>1</xdr:col>
      <xdr:colOff>0</xdr:colOff>
      <xdr:row>6</xdr:row>
      <xdr:rowOff>0</xdr:rowOff>
    </xdr:from>
    <xdr:to>
      <xdr:col>1</xdr:col>
      <xdr:colOff>604440</xdr:colOff>
      <xdr:row>6</xdr:row>
      <xdr:rowOff>604440</xdr:rowOff>
    </xdr:to>
    <xdr:pic>
      <xdr:nvPicPr>
        <xdr:cNvPr id="9" name="Image 12" descr="Picture"/>
        <xdr:cNvPicPr/>
      </xdr:nvPicPr>
      <xdr:blipFill>
        <a:blip r:embed="rId10"/>
        <a:stretch/>
      </xdr:blipFill>
      <xdr:spPr>
        <a:xfrm>
          <a:off x="775440" y="2238480"/>
          <a:ext cx="604440" cy="604440"/>
        </a:xfrm>
        <a:prstGeom prst="rect">
          <a:avLst/>
        </a:prstGeom>
        <a:ln w="0">
          <a:noFill/>
        </a:ln>
      </xdr:spPr>
    </xdr:pic>
    <xdr:clientData/>
  </xdr:twoCellAnchor>
  <xdr:twoCellAnchor editAs="oneCell">
    <xdr:from>
      <xdr:col>0</xdr:col>
      <xdr:colOff>0</xdr:colOff>
      <xdr:row>11</xdr:row>
      <xdr:rowOff>0</xdr:rowOff>
    </xdr:from>
    <xdr:to>
      <xdr:col>0</xdr:col>
      <xdr:colOff>604440</xdr:colOff>
      <xdr:row>11</xdr:row>
      <xdr:rowOff>604440</xdr:rowOff>
    </xdr:to>
    <xdr:pic>
      <xdr:nvPicPr>
        <xdr:cNvPr id="10" name="Image 13" descr="Picture"/>
        <xdr:cNvPicPr/>
      </xdr:nvPicPr>
      <xdr:blipFill>
        <a:blip r:embed="rId11"/>
        <a:stretch/>
      </xdr:blipFill>
      <xdr:spPr>
        <a:xfrm>
          <a:off x="0" y="5381640"/>
          <a:ext cx="604440" cy="604440"/>
        </a:xfrm>
        <a:prstGeom prst="rect">
          <a:avLst/>
        </a:prstGeom>
        <a:ln w="0">
          <a:noFill/>
        </a:ln>
      </xdr:spPr>
    </xdr:pic>
    <xdr:clientData/>
  </xdr:twoCellAnchor>
  <xdr:twoCellAnchor editAs="oneCell">
    <xdr:from>
      <xdr:col>1</xdr:col>
      <xdr:colOff>0</xdr:colOff>
      <xdr:row>11</xdr:row>
      <xdr:rowOff>0</xdr:rowOff>
    </xdr:from>
    <xdr:to>
      <xdr:col>1</xdr:col>
      <xdr:colOff>604440</xdr:colOff>
      <xdr:row>11</xdr:row>
      <xdr:rowOff>604440</xdr:rowOff>
    </xdr:to>
    <xdr:pic>
      <xdr:nvPicPr>
        <xdr:cNvPr id="11" name="Image 14" descr="Picture"/>
        <xdr:cNvPicPr/>
      </xdr:nvPicPr>
      <xdr:blipFill>
        <a:blip r:embed="rId12"/>
        <a:stretch/>
      </xdr:blipFill>
      <xdr:spPr>
        <a:xfrm>
          <a:off x="775440" y="5381640"/>
          <a:ext cx="604440" cy="604440"/>
        </a:xfrm>
        <a:prstGeom prst="rect">
          <a:avLst/>
        </a:prstGeom>
        <a:ln w="0">
          <a:noFill/>
        </a:ln>
      </xdr:spPr>
    </xdr:pic>
    <xdr:clientData/>
  </xdr:twoCellAnchor>
  <xdr:twoCellAnchor editAs="oneCell">
    <xdr:from>
      <xdr:col>0</xdr:col>
      <xdr:colOff>0</xdr:colOff>
      <xdr:row>8</xdr:row>
      <xdr:rowOff>0</xdr:rowOff>
    </xdr:from>
    <xdr:to>
      <xdr:col>0</xdr:col>
      <xdr:colOff>604440</xdr:colOff>
      <xdr:row>8</xdr:row>
      <xdr:rowOff>604440</xdr:rowOff>
    </xdr:to>
    <xdr:pic>
      <xdr:nvPicPr>
        <xdr:cNvPr id="12" name="Image 15" descr="Picture"/>
        <xdr:cNvPicPr/>
      </xdr:nvPicPr>
      <xdr:blipFill>
        <a:blip r:embed="rId13"/>
        <a:stretch/>
      </xdr:blipFill>
      <xdr:spPr>
        <a:xfrm>
          <a:off x="0" y="3495600"/>
          <a:ext cx="604440" cy="604440"/>
        </a:xfrm>
        <a:prstGeom prst="rect">
          <a:avLst/>
        </a:prstGeom>
        <a:ln w="0">
          <a:noFill/>
        </a:ln>
      </xdr:spPr>
    </xdr:pic>
    <xdr:clientData/>
  </xdr:twoCellAnchor>
  <xdr:twoCellAnchor editAs="oneCell">
    <xdr:from>
      <xdr:col>1</xdr:col>
      <xdr:colOff>0</xdr:colOff>
      <xdr:row>8</xdr:row>
      <xdr:rowOff>0</xdr:rowOff>
    </xdr:from>
    <xdr:to>
      <xdr:col>1</xdr:col>
      <xdr:colOff>604440</xdr:colOff>
      <xdr:row>8</xdr:row>
      <xdr:rowOff>604440</xdr:rowOff>
    </xdr:to>
    <xdr:pic>
      <xdr:nvPicPr>
        <xdr:cNvPr id="13" name="Image 16" descr="Picture"/>
        <xdr:cNvPicPr/>
      </xdr:nvPicPr>
      <xdr:blipFill>
        <a:blip r:embed="rId14"/>
        <a:stretch/>
      </xdr:blipFill>
      <xdr:spPr>
        <a:xfrm>
          <a:off x="775440" y="3495600"/>
          <a:ext cx="604440" cy="604440"/>
        </a:xfrm>
        <a:prstGeom prst="rect">
          <a:avLst/>
        </a:prstGeom>
        <a:ln w="0">
          <a:noFill/>
        </a:ln>
      </xdr:spPr>
    </xdr:pic>
    <xdr:clientData/>
  </xdr:twoCellAnchor>
  <xdr:twoCellAnchor editAs="oneCell">
    <xdr:from>
      <xdr:col>0</xdr:col>
      <xdr:colOff>0</xdr:colOff>
      <xdr:row>21</xdr:row>
      <xdr:rowOff>0</xdr:rowOff>
    </xdr:from>
    <xdr:to>
      <xdr:col>0</xdr:col>
      <xdr:colOff>604800</xdr:colOff>
      <xdr:row>21</xdr:row>
      <xdr:rowOff>604800</xdr:rowOff>
    </xdr:to>
    <xdr:pic>
      <xdr:nvPicPr>
        <xdr:cNvPr id="14" name="Image 17" descr="Picture"/>
        <xdr:cNvPicPr/>
      </xdr:nvPicPr>
      <xdr:blipFill>
        <a:blip r:embed="rId15"/>
        <a:stretch/>
      </xdr:blipFill>
      <xdr:spPr>
        <a:xfrm>
          <a:off x="0" y="11667960"/>
          <a:ext cx="604800" cy="604800"/>
        </a:xfrm>
        <a:prstGeom prst="rect">
          <a:avLst/>
        </a:prstGeom>
        <a:ln w="0">
          <a:noFill/>
        </a:ln>
      </xdr:spPr>
    </xdr:pic>
    <xdr:clientData/>
  </xdr:twoCellAnchor>
  <xdr:twoCellAnchor editAs="oneCell">
    <xdr:from>
      <xdr:col>1</xdr:col>
      <xdr:colOff>0</xdr:colOff>
      <xdr:row>21</xdr:row>
      <xdr:rowOff>0</xdr:rowOff>
    </xdr:from>
    <xdr:to>
      <xdr:col>1</xdr:col>
      <xdr:colOff>604800</xdr:colOff>
      <xdr:row>21</xdr:row>
      <xdr:rowOff>604800</xdr:rowOff>
    </xdr:to>
    <xdr:pic>
      <xdr:nvPicPr>
        <xdr:cNvPr id="15" name="Image 18" descr="Picture"/>
        <xdr:cNvPicPr/>
      </xdr:nvPicPr>
      <xdr:blipFill>
        <a:blip r:embed="rId16"/>
        <a:stretch/>
      </xdr:blipFill>
      <xdr:spPr>
        <a:xfrm>
          <a:off x="775440" y="11667960"/>
          <a:ext cx="604800" cy="604800"/>
        </a:xfrm>
        <a:prstGeom prst="rect">
          <a:avLst/>
        </a:prstGeom>
        <a:ln w="0">
          <a:noFill/>
        </a:ln>
      </xdr:spPr>
    </xdr:pic>
    <xdr:clientData/>
  </xdr:twoCellAnchor>
  <xdr:twoCellAnchor editAs="oneCell">
    <xdr:from>
      <xdr:col>0</xdr:col>
      <xdr:colOff>0</xdr:colOff>
      <xdr:row>15</xdr:row>
      <xdr:rowOff>0</xdr:rowOff>
    </xdr:from>
    <xdr:to>
      <xdr:col>0</xdr:col>
      <xdr:colOff>605160</xdr:colOff>
      <xdr:row>15</xdr:row>
      <xdr:rowOff>605160</xdr:rowOff>
    </xdr:to>
    <xdr:pic>
      <xdr:nvPicPr>
        <xdr:cNvPr id="16" name="Image 18" descr="Picture"/>
        <xdr:cNvPicPr/>
      </xdr:nvPicPr>
      <xdr:blipFill>
        <a:blip r:embed="rId17"/>
        <a:stretch/>
      </xdr:blipFill>
      <xdr:spPr>
        <a:xfrm>
          <a:off x="0" y="7896240"/>
          <a:ext cx="605160" cy="605160"/>
        </a:xfrm>
        <a:prstGeom prst="rect">
          <a:avLst/>
        </a:prstGeom>
        <a:ln w="0">
          <a:noFill/>
        </a:ln>
      </xdr:spPr>
    </xdr:pic>
    <xdr:clientData/>
  </xdr:twoCellAnchor>
  <xdr:twoCellAnchor editAs="oneCell">
    <xdr:from>
      <xdr:col>0</xdr:col>
      <xdr:colOff>0</xdr:colOff>
      <xdr:row>22</xdr:row>
      <xdr:rowOff>0</xdr:rowOff>
    </xdr:from>
    <xdr:to>
      <xdr:col>0</xdr:col>
      <xdr:colOff>605520</xdr:colOff>
      <xdr:row>22</xdr:row>
      <xdr:rowOff>605520</xdr:rowOff>
    </xdr:to>
    <xdr:pic>
      <xdr:nvPicPr>
        <xdr:cNvPr id="17" name="Image 19" descr="Picture"/>
        <xdr:cNvPicPr/>
      </xdr:nvPicPr>
      <xdr:blipFill>
        <a:blip r:embed="rId18"/>
        <a:stretch/>
      </xdr:blipFill>
      <xdr:spPr>
        <a:xfrm>
          <a:off x="0" y="12296880"/>
          <a:ext cx="605520" cy="605520"/>
        </a:xfrm>
        <a:prstGeom prst="rect">
          <a:avLst/>
        </a:prstGeom>
        <a:ln w="0">
          <a:noFill/>
        </a:ln>
      </xdr:spPr>
    </xdr:pic>
    <xdr:clientData/>
  </xdr:twoCellAnchor>
  <xdr:twoCellAnchor editAs="oneCell">
    <xdr:from>
      <xdr:col>1</xdr:col>
      <xdr:colOff>0</xdr:colOff>
      <xdr:row>22</xdr:row>
      <xdr:rowOff>0</xdr:rowOff>
    </xdr:from>
    <xdr:to>
      <xdr:col>1</xdr:col>
      <xdr:colOff>605520</xdr:colOff>
      <xdr:row>22</xdr:row>
      <xdr:rowOff>605520</xdr:rowOff>
    </xdr:to>
    <xdr:pic>
      <xdr:nvPicPr>
        <xdr:cNvPr id="18" name="Image 20" descr="Picture"/>
        <xdr:cNvPicPr/>
      </xdr:nvPicPr>
      <xdr:blipFill>
        <a:blip r:embed="rId19"/>
        <a:stretch/>
      </xdr:blipFill>
      <xdr:spPr>
        <a:xfrm>
          <a:off x="775440" y="12296880"/>
          <a:ext cx="605520" cy="605520"/>
        </a:xfrm>
        <a:prstGeom prst="rect">
          <a:avLst/>
        </a:prstGeom>
        <a:ln w="0">
          <a:noFill/>
        </a:ln>
      </xdr:spPr>
    </xdr:pic>
    <xdr:clientData/>
  </xdr:twoCellAnchor>
  <xdr:twoCellAnchor editAs="oneCell">
    <xdr:from>
      <xdr:col>0</xdr:col>
      <xdr:colOff>0</xdr:colOff>
      <xdr:row>19</xdr:row>
      <xdr:rowOff>0</xdr:rowOff>
    </xdr:from>
    <xdr:to>
      <xdr:col>0</xdr:col>
      <xdr:colOff>605520</xdr:colOff>
      <xdr:row>19</xdr:row>
      <xdr:rowOff>605520</xdr:rowOff>
    </xdr:to>
    <xdr:pic>
      <xdr:nvPicPr>
        <xdr:cNvPr id="19" name="Image 21" descr="Picture"/>
        <xdr:cNvPicPr/>
      </xdr:nvPicPr>
      <xdr:blipFill>
        <a:blip r:embed="rId20"/>
        <a:stretch/>
      </xdr:blipFill>
      <xdr:spPr>
        <a:xfrm>
          <a:off x="0" y="10410840"/>
          <a:ext cx="605520" cy="605520"/>
        </a:xfrm>
        <a:prstGeom prst="rect">
          <a:avLst/>
        </a:prstGeom>
        <a:ln w="0">
          <a:noFill/>
        </a:ln>
      </xdr:spPr>
    </xdr:pic>
    <xdr:clientData/>
  </xdr:twoCellAnchor>
  <xdr:twoCellAnchor editAs="oneCell">
    <xdr:from>
      <xdr:col>1</xdr:col>
      <xdr:colOff>0</xdr:colOff>
      <xdr:row>19</xdr:row>
      <xdr:rowOff>0</xdr:rowOff>
    </xdr:from>
    <xdr:to>
      <xdr:col>1</xdr:col>
      <xdr:colOff>605520</xdr:colOff>
      <xdr:row>19</xdr:row>
      <xdr:rowOff>605520</xdr:rowOff>
    </xdr:to>
    <xdr:pic>
      <xdr:nvPicPr>
        <xdr:cNvPr id="20" name="Image 22" descr="Picture"/>
        <xdr:cNvPicPr/>
      </xdr:nvPicPr>
      <xdr:blipFill>
        <a:blip r:embed="rId21"/>
        <a:stretch/>
      </xdr:blipFill>
      <xdr:spPr>
        <a:xfrm>
          <a:off x="775440" y="10410840"/>
          <a:ext cx="605520" cy="605520"/>
        </a:xfrm>
        <a:prstGeom prst="rect">
          <a:avLst/>
        </a:prstGeom>
        <a:ln w="0">
          <a:noFill/>
        </a:ln>
      </xdr:spPr>
    </xdr:pic>
    <xdr:clientData/>
  </xdr:twoCellAnchor>
  <xdr:twoCellAnchor editAs="oneCell">
    <xdr:from>
      <xdr:col>0</xdr:col>
      <xdr:colOff>0</xdr:colOff>
      <xdr:row>13</xdr:row>
      <xdr:rowOff>0</xdr:rowOff>
    </xdr:from>
    <xdr:to>
      <xdr:col>0</xdr:col>
      <xdr:colOff>605520</xdr:colOff>
      <xdr:row>13</xdr:row>
      <xdr:rowOff>605520</xdr:rowOff>
    </xdr:to>
    <xdr:pic>
      <xdr:nvPicPr>
        <xdr:cNvPr id="21" name="Image 23" descr="Picture"/>
        <xdr:cNvPicPr/>
      </xdr:nvPicPr>
      <xdr:blipFill>
        <a:blip r:embed="rId22"/>
        <a:stretch/>
      </xdr:blipFill>
      <xdr:spPr>
        <a:xfrm>
          <a:off x="0" y="6638760"/>
          <a:ext cx="605520" cy="605520"/>
        </a:xfrm>
        <a:prstGeom prst="rect">
          <a:avLst/>
        </a:prstGeom>
        <a:ln w="0">
          <a:noFill/>
        </a:ln>
      </xdr:spPr>
    </xdr:pic>
    <xdr:clientData/>
  </xdr:twoCellAnchor>
  <xdr:twoCellAnchor editAs="oneCell">
    <xdr:from>
      <xdr:col>1</xdr:col>
      <xdr:colOff>0</xdr:colOff>
      <xdr:row>13</xdr:row>
      <xdr:rowOff>0</xdr:rowOff>
    </xdr:from>
    <xdr:to>
      <xdr:col>1</xdr:col>
      <xdr:colOff>605520</xdr:colOff>
      <xdr:row>13</xdr:row>
      <xdr:rowOff>605520</xdr:rowOff>
    </xdr:to>
    <xdr:pic>
      <xdr:nvPicPr>
        <xdr:cNvPr id="22" name="Image 24" descr="Picture"/>
        <xdr:cNvPicPr/>
      </xdr:nvPicPr>
      <xdr:blipFill>
        <a:blip r:embed="rId23"/>
        <a:stretch/>
      </xdr:blipFill>
      <xdr:spPr>
        <a:xfrm>
          <a:off x="775440" y="6638760"/>
          <a:ext cx="605520" cy="605520"/>
        </a:xfrm>
        <a:prstGeom prst="rect">
          <a:avLst/>
        </a:prstGeom>
        <a:ln w="0">
          <a:noFill/>
        </a:ln>
      </xdr:spPr>
    </xdr:pic>
    <xdr:clientData/>
  </xdr:twoCellAnchor>
  <xdr:twoCellAnchor editAs="oneCell">
    <xdr:from>
      <xdr:col>0</xdr:col>
      <xdr:colOff>0</xdr:colOff>
      <xdr:row>9</xdr:row>
      <xdr:rowOff>0</xdr:rowOff>
    </xdr:from>
    <xdr:to>
      <xdr:col>0</xdr:col>
      <xdr:colOff>605520</xdr:colOff>
      <xdr:row>9</xdr:row>
      <xdr:rowOff>605520</xdr:rowOff>
    </xdr:to>
    <xdr:pic>
      <xdr:nvPicPr>
        <xdr:cNvPr id="23" name="Image 25" descr="Picture"/>
        <xdr:cNvPicPr/>
      </xdr:nvPicPr>
      <xdr:blipFill>
        <a:blip r:embed="rId24"/>
        <a:stretch/>
      </xdr:blipFill>
      <xdr:spPr>
        <a:xfrm>
          <a:off x="0" y="4124160"/>
          <a:ext cx="605520" cy="605520"/>
        </a:xfrm>
        <a:prstGeom prst="rect">
          <a:avLst/>
        </a:prstGeom>
        <a:ln w="0">
          <a:noFill/>
        </a:ln>
      </xdr:spPr>
    </xdr:pic>
    <xdr:clientData/>
  </xdr:twoCellAnchor>
  <xdr:twoCellAnchor editAs="oneCell">
    <xdr:from>
      <xdr:col>1</xdr:col>
      <xdr:colOff>0</xdr:colOff>
      <xdr:row>9</xdr:row>
      <xdr:rowOff>0</xdr:rowOff>
    </xdr:from>
    <xdr:to>
      <xdr:col>1</xdr:col>
      <xdr:colOff>605520</xdr:colOff>
      <xdr:row>9</xdr:row>
      <xdr:rowOff>605520</xdr:rowOff>
    </xdr:to>
    <xdr:pic>
      <xdr:nvPicPr>
        <xdr:cNvPr id="24" name="Image 26" descr="Picture"/>
        <xdr:cNvPicPr/>
      </xdr:nvPicPr>
      <xdr:blipFill>
        <a:blip r:embed="rId25"/>
        <a:stretch/>
      </xdr:blipFill>
      <xdr:spPr>
        <a:xfrm>
          <a:off x="775440" y="4124160"/>
          <a:ext cx="605520" cy="605520"/>
        </a:xfrm>
        <a:prstGeom prst="rect">
          <a:avLst/>
        </a:prstGeom>
        <a:ln w="0">
          <a:noFill/>
        </a:ln>
      </xdr:spPr>
    </xdr:pic>
    <xdr:clientData/>
  </xdr:twoCellAnchor>
  <xdr:twoCellAnchor editAs="oneCell">
    <xdr:from>
      <xdr:col>0</xdr:col>
      <xdr:colOff>0</xdr:colOff>
      <xdr:row>4</xdr:row>
      <xdr:rowOff>0</xdr:rowOff>
    </xdr:from>
    <xdr:to>
      <xdr:col>0</xdr:col>
      <xdr:colOff>605880</xdr:colOff>
      <xdr:row>4</xdr:row>
      <xdr:rowOff>605880</xdr:rowOff>
    </xdr:to>
    <xdr:pic>
      <xdr:nvPicPr>
        <xdr:cNvPr id="25" name="Image 27" descr="Picture"/>
        <xdr:cNvPicPr/>
      </xdr:nvPicPr>
      <xdr:blipFill>
        <a:blip r:embed="rId26"/>
        <a:stretch/>
      </xdr:blipFill>
      <xdr:spPr>
        <a:xfrm>
          <a:off x="0" y="981000"/>
          <a:ext cx="605880" cy="605880"/>
        </a:xfrm>
        <a:prstGeom prst="rect">
          <a:avLst/>
        </a:prstGeom>
        <a:ln w="0">
          <a:noFill/>
        </a:ln>
      </xdr:spPr>
    </xdr:pic>
    <xdr:clientData/>
  </xdr:twoCellAnchor>
  <xdr:twoCellAnchor editAs="oneCell">
    <xdr:from>
      <xdr:col>1</xdr:col>
      <xdr:colOff>0</xdr:colOff>
      <xdr:row>4</xdr:row>
      <xdr:rowOff>0</xdr:rowOff>
    </xdr:from>
    <xdr:to>
      <xdr:col>1</xdr:col>
      <xdr:colOff>605880</xdr:colOff>
      <xdr:row>4</xdr:row>
      <xdr:rowOff>605880</xdr:rowOff>
    </xdr:to>
    <xdr:pic>
      <xdr:nvPicPr>
        <xdr:cNvPr id="26" name="Image 28" descr="Picture"/>
        <xdr:cNvPicPr/>
      </xdr:nvPicPr>
      <xdr:blipFill>
        <a:blip r:embed="rId27"/>
        <a:stretch/>
      </xdr:blipFill>
      <xdr:spPr>
        <a:xfrm>
          <a:off x="775440" y="981000"/>
          <a:ext cx="605880" cy="605880"/>
        </a:xfrm>
        <a:prstGeom prst="rect">
          <a:avLst/>
        </a:prstGeom>
        <a:ln w="0">
          <a:noFill/>
        </a:ln>
      </xdr:spPr>
    </xdr:pic>
    <xdr:clientData/>
  </xdr:twoCellAnchor>
  <xdr:twoCellAnchor editAs="oneCell">
    <xdr:from>
      <xdr:col>0</xdr:col>
      <xdr:colOff>0</xdr:colOff>
      <xdr:row>16</xdr:row>
      <xdr:rowOff>0</xdr:rowOff>
    </xdr:from>
    <xdr:to>
      <xdr:col>0</xdr:col>
      <xdr:colOff>605880</xdr:colOff>
      <xdr:row>16</xdr:row>
      <xdr:rowOff>605880</xdr:rowOff>
    </xdr:to>
    <xdr:pic>
      <xdr:nvPicPr>
        <xdr:cNvPr id="27" name="Image 29" descr="Picture"/>
        <xdr:cNvPicPr/>
      </xdr:nvPicPr>
      <xdr:blipFill>
        <a:blip r:embed="rId28"/>
        <a:stretch/>
      </xdr:blipFill>
      <xdr:spPr>
        <a:xfrm>
          <a:off x="0" y="8524800"/>
          <a:ext cx="605880" cy="605880"/>
        </a:xfrm>
        <a:prstGeom prst="rect">
          <a:avLst/>
        </a:prstGeom>
        <a:ln w="0">
          <a:noFill/>
        </a:ln>
      </xdr:spPr>
    </xdr:pic>
    <xdr:clientData/>
  </xdr:twoCellAnchor>
  <xdr:twoCellAnchor editAs="oneCell">
    <xdr:from>
      <xdr:col>1</xdr:col>
      <xdr:colOff>0</xdr:colOff>
      <xdr:row>16</xdr:row>
      <xdr:rowOff>0</xdr:rowOff>
    </xdr:from>
    <xdr:to>
      <xdr:col>1</xdr:col>
      <xdr:colOff>605880</xdr:colOff>
      <xdr:row>16</xdr:row>
      <xdr:rowOff>605880</xdr:rowOff>
    </xdr:to>
    <xdr:pic>
      <xdr:nvPicPr>
        <xdr:cNvPr id="28" name="Image 30" descr="Picture"/>
        <xdr:cNvPicPr/>
      </xdr:nvPicPr>
      <xdr:blipFill>
        <a:blip r:embed="rId29"/>
        <a:stretch/>
      </xdr:blipFill>
      <xdr:spPr>
        <a:xfrm>
          <a:off x="775440" y="8524800"/>
          <a:ext cx="605880" cy="605880"/>
        </a:xfrm>
        <a:prstGeom prst="rect">
          <a:avLst/>
        </a:prstGeom>
        <a:ln w="0">
          <a:noFill/>
        </a:ln>
      </xdr:spPr>
    </xdr:pic>
    <xdr:clientData/>
  </xdr:twoCellAnchor>
  <xdr:twoCellAnchor editAs="oneCell">
    <xdr:from>
      <xdr:col>0</xdr:col>
      <xdr:colOff>0</xdr:colOff>
      <xdr:row>20</xdr:row>
      <xdr:rowOff>0</xdr:rowOff>
    </xdr:from>
    <xdr:to>
      <xdr:col>0</xdr:col>
      <xdr:colOff>605880</xdr:colOff>
      <xdr:row>20</xdr:row>
      <xdr:rowOff>605880</xdr:rowOff>
    </xdr:to>
    <xdr:pic>
      <xdr:nvPicPr>
        <xdr:cNvPr id="29" name="Image 31" descr="Picture"/>
        <xdr:cNvPicPr/>
      </xdr:nvPicPr>
      <xdr:blipFill>
        <a:blip r:embed="rId30"/>
        <a:stretch/>
      </xdr:blipFill>
      <xdr:spPr>
        <a:xfrm>
          <a:off x="0" y="11039400"/>
          <a:ext cx="605880" cy="605880"/>
        </a:xfrm>
        <a:prstGeom prst="rect">
          <a:avLst/>
        </a:prstGeom>
        <a:ln w="0">
          <a:noFill/>
        </a:ln>
      </xdr:spPr>
    </xdr:pic>
    <xdr:clientData/>
  </xdr:twoCellAnchor>
  <xdr:twoCellAnchor editAs="oneCell">
    <xdr:from>
      <xdr:col>1</xdr:col>
      <xdr:colOff>0</xdr:colOff>
      <xdr:row>20</xdr:row>
      <xdr:rowOff>0</xdr:rowOff>
    </xdr:from>
    <xdr:to>
      <xdr:col>1</xdr:col>
      <xdr:colOff>605880</xdr:colOff>
      <xdr:row>20</xdr:row>
      <xdr:rowOff>605880</xdr:rowOff>
    </xdr:to>
    <xdr:pic>
      <xdr:nvPicPr>
        <xdr:cNvPr id="30" name="Image 32" descr="Picture"/>
        <xdr:cNvPicPr/>
      </xdr:nvPicPr>
      <xdr:blipFill>
        <a:blip r:embed="rId31"/>
        <a:stretch/>
      </xdr:blipFill>
      <xdr:spPr>
        <a:xfrm>
          <a:off x="775440" y="11039400"/>
          <a:ext cx="605880" cy="605880"/>
        </a:xfrm>
        <a:prstGeom prst="rect">
          <a:avLst/>
        </a:prstGeom>
        <a:ln w="0">
          <a:noFill/>
        </a:ln>
      </xdr:spPr>
    </xdr:pic>
    <xdr:clientData/>
  </xdr:twoCellAnchor>
  <xdr:twoCellAnchor editAs="oneCell">
    <xdr:from>
      <xdr:col>0</xdr:col>
      <xdr:colOff>0</xdr:colOff>
      <xdr:row>26</xdr:row>
      <xdr:rowOff>0</xdr:rowOff>
    </xdr:from>
    <xdr:to>
      <xdr:col>0</xdr:col>
      <xdr:colOff>606240</xdr:colOff>
      <xdr:row>26</xdr:row>
      <xdr:rowOff>606240</xdr:rowOff>
    </xdr:to>
    <xdr:pic>
      <xdr:nvPicPr>
        <xdr:cNvPr id="31" name="Image 32" descr="Picture"/>
        <xdr:cNvPicPr/>
      </xdr:nvPicPr>
      <xdr:blipFill>
        <a:blip r:embed="rId32"/>
        <a:stretch/>
      </xdr:blipFill>
      <xdr:spPr>
        <a:xfrm>
          <a:off x="0" y="14811480"/>
          <a:ext cx="606240" cy="606240"/>
        </a:xfrm>
        <a:prstGeom prst="rect">
          <a:avLst/>
        </a:prstGeom>
        <a:ln w="0">
          <a:noFill/>
        </a:ln>
      </xdr:spPr>
    </xdr:pic>
    <xdr:clientData/>
  </xdr:twoCellAnchor>
  <xdr:twoCellAnchor editAs="oneCell">
    <xdr:from>
      <xdr:col>0</xdr:col>
      <xdr:colOff>0</xdr:colOff>
      <xdr:row>7</xdr:row>
      <xdr:rowOff>0</xdr:rowOff>
    </xdr:from>
    <xdr:to>
      <xdr:col>0</xdr:col>
      <xdr:colOff>606240</xdr:colOff>
      <xdr:row>7</xdr:row>
      <xdr:rowOff>606240</xdr:rowOff>
    </xdr:to>
    <xdr:pic>
      <xdr:nvPicPr>
        <xdr:cNvPr id="32" name="Image 33" descr="Picture"/>
        <xdr:cNvPicPr/>
      </xdr:nvPicPr>
      <xdr:blipFill>
        <a:blip r:embed="rId33"/>
        <a:stretch/>
      </xdr:blipFill>
      <xdr:spPr>
        <a:xfrm>
          <a:off x="0" y="2867040"/>
          <a:ext cx="606240" cy="606240"/>
        </a:xfrm>
        <a:prstGeom prst="rect">
          <a:avLst/>
        </a:prstGeom>
        <a:ln w="0">
          <a:noFill/>
        </a:ln>
      </xdr:spPr>
    </xdr:pic>
    <xdr:clientData/>
  </xdr:twoCellAnchor>
  <xdr:twoCellAnchor editAs="oneCell">
    <xdr:from>
      <xdr:col>1</xdr:col>
      <xdr:colOff>0</xdr:colOff>
      <xdr:row>7</xdr:row>
      <xdr:rowOff>0</xdr:rowOff>
    </xdr:from>
    <xdr:to>
      <xdr:col>1</xdr:col>
      <xdr:colOff>606240</xdr:colOff>
      <xdr:row>7</xdr:row>
      <xdr:rowOff>606240</xdr:rowOff>
    </xdr:to>
    <xdr:pic>
      <xdr:nvPicPr>
        <xdr:cNvPr id="33" name="Image 34" descr="Picture"/>
        <xdr:cNvPicPr/>
      </xdr:nvPicPr>
      <xdr:blipFill>
        <a:blip r:embed="rId34"/>
        <a:stretch/>
      </xdr:blipFill>
      <xdr:spPr>
        <a:xfrm>
          <a:off x="775440" y="2867040"/>
          <a:ext cx="606240" cy="606240"/>
        </a:xfrm>
        <a:prstGeom prst="rect">
          <a:avLst/>
        </a:prstGeom>
        <a:ln w="0">
          <a:noFill/>
        </a:ln>
      </xdr:spPr>
    </xdr:pic>
    <xdr:clientData/>
  </xdr:twoCellAnchor>
  <xdr:twoCellAnchor editAs="oneCell">
    <xdr:from>
      <xdr:col>0</xdr:col>
      <xdr:colOff>0</xdr:colOff>
      <xdr:row>12</xdr:row>
      <xdr:rowOff>0</xdr:rowOff>
    </xdr:from>
    <xdr:to>
      <xdr:col>0</xdr:col>
      <xdr:colOff>606240</xdr:colOff>
      <xdr:row>12</xdr:row>
      <xdr:rowOff>606240</xdr:rowOff>
    </xdr:to>
    <xdr:pic>
      <xdr:nvPicPr>
        <xdr:cNvPr id="34" name="Image 35" descr="Picture"/>
        <xdr:cNvPicPr/>
      </xdr:nvPicPr>
      <xdr:blipFill>
        <a:blip r:embed="rId35"/>
        <a:stretch/>
      </xdr:blipFill>
      <xdr:spPr>
        <a:xfrm>
          <a:off x="0" y="6010200"/>
          <a:ext cx="606240" cy="606240"/>
        </a:xfrm>
        <a:prstGeom prst="rect">
          <a:avLst/>
        </a:prstGeom>
        <a:ln w="0">
          <a:noFill/>
        </a:ln>
      </xdr:spPr>
    </xdr:pic>
    <xdr:clientData/>
  </xdr:twoCellAnchor>
  <xdr:twoCellAnchor editAs="oneCell">
    <xdr:from>
      <xdr:col>1</xdr:col>
      <xdr:colOff>0</xdr:colOff>
      <xdr:row>12</xdr:row>
      <xdr:rowOff>0</xdr:rowOff>
    </xdr:from>
    <xdr:to>
      <xdr:col>1</xdr:col>
      <xdr:colOff>606240</xdr:colOff>
      <xdr:row>12</xdr:row>
      <xdr:rowOff>606240</xdr:rowOff>
    </xdr:to>
    <xdr:pic>
      <xdr:nvPicPr>
        <xdr:cNvPr id="35" name="Image 36" descr="Picture"/>
        <xdr:cNvPicPr/>
      </xdr:nvPicPr>
      <xdr:blipFill>
        <a:blip r:embed="rId36"/>
        <a:stretch/>
      </xdr:blipFill>
      <xdr:spPr>
        <a:xfrm>
          <a:off x="775440" y="6010200"/>
          <a:ext cx="606240" cy="606240"/>
        </a:xfrm>
        <a:prstGeom prst="rect">
          <a:avLst/>
        </a:prstGeom>
        <a:ln w="0">
          <a:noFill/>
        </a:ln>
      </xdr:spPr>
    </xdr:pic>
    <xdr:clientData/>
  </xdr:twoCellAnchor>
  <xdr:twoCellAnchor editAs="oneCell">
    <xdr:from>
      <xdr:col>0</xdr:col>
      <xdr:colOff>0</xdr:colOff>
      <xdr:row>14</xdr:row>
      <xdr:rowOff>0</xdr:rowOff>
    </xdr:from>
    <xdr:to>
      <xdr:col>0</xdr:col>
      <xdr:colOff>606240</xdr:colOff>
      <xdr:row>14</xdr:row>
      <xdr:rowOff>606240</xdr:rowOff>
    </xdr:to>
    <xdr:pic>
      <xdr:nvPicPr>
        <xdr:cNvPr id="36" name="Image 37" descr="Picture"/>
        <xdr:cNvPicPr/>
      </xdr:nvPicPr>
      <xdr:blipFill>
        <a:blip r:embed="rId37"/>
        <a:stretch/>
      </xdr:blipFill>
      <xdr:spPr>
        <a:xfrm>
          <a:off x="0" y="7267680"/>
          <a:ext cx="606240" cy="606240"/>
        </a:xfrm>
        <a:prstGeom prst="rect">
          <a:avLst/>
        </a:prstGeom>
        <a:ln w="0">
          <a:noFill/>
        </a:ln>
      </xdr:spPr>
    </xdr:pic>
    <xdr:clientData/>
  </xdr:twoCellAnchor>
  <xdr:twoCellAnchor editAs="oneCell">
    <xdr:from>
      <xdr:col>1</xdr:col>
      <xdr:colOff>0</xdr:colOff>
      <xdr:row>14</xdr:row>
      <xdr:rowOff>0</xdr:rowOff>
    </xdr:from>
    <xdr:to>
      <xdr:col>1</xdr:col>
      <xdr:colOff>606240</xdr:colOff>
      <xdr:row>14</xdr:row>
      <xdr:rowOff>606240</xdr:rowOff>
    </xdr:to>
    <xdr:pic>
      <xdr:nvPicPr>
        <xdr:cNvPr id="37" name="Image 38" descr="Picture"/>
        <xdr:cNvPicPr/>
      </xdr:nvPicPr>
      <xdr:blipFill>
        <a:blip r:embed="rId38"/>
        <a:stretch/>
      </xdr:blipFill>
      <xdr:spPr>
        <a:xfrm>
          <a:off x="775440" y="7267680"/>
          <a:ext cx="606240" cy="606240"/>
        </a:xfrm>
        <a:prstGeom prst="rect">
          <a:avLst/>
        </a:prstGeom>
        <a:ln w="0">
          <a:noFill/>
        </a:ln>
      </xdr:spPr>
    </xdr:pic>
    <xdr:clientData/>
  </xdr:twoCellAnchor>
  <xdr:twoCellAnchor editAs="oneCell">
    <xdr:from>
      <xdr:col>0</xdr:col>
      <xdr:colOff>0</xdr:colOff>
      <xdr:row>23</xdr:row>
      <xdr:rowOff>0</xdr:rowOff>
    </xdr:from>
    <xdr:to>
      <xdr:col>0</xdr:col>
      <xdr:colOff>606240</xdr:colOff>
      <xdr:row>23</xdr:row>
      <xdr:rowOff>606240</xdr:rowOff>
    </xdr:to>
    <xdr:pic>
      <xdr:nvPicPr>
        <xdr:cNvPr id="38" name="Image 39" descr="Picture"/>
        <xdr:cNvPicPr/>
      </xdr:nvPicPr>
      <xdr:blipFill>
        <a:blip r:embed="rId39"/>
        <a:stretch/>
      </xdr:blipFill>
      <xdr:spPr>
        <a:xfrm>
          <a:off x="0" y="12925440"/>
          <a:ext cx="606240" cy="606240"/>
        </a:xfrm>
        <a:prstGeom prst="rect">
          <a:avLst/>
        </a:prstGeom>
        <a:ln w="0">
          <a:noFill/>
        </a:ln>
      </xdr:spPr>
    </xdr:pic>
    <xdr:clientData/>
  </xdr:twoCellAnchor>
  <xdr:twoCellAnchor editAs="oneCell">
    <xdr:from>
      <xdr:col>1</xdr:col>
      <xdr:colOff>0</xdr:colOff>
      <xdr:row>23</xdr:row>
      <xdr:rowOff>0</xdr:rowOff>
    </xdr:from>
    <xdr:to>
      <xdr:col>1</xdr:col>
      <xdr:colOff>606240</xdr:colOff>
      <xdr:row>23</xdr:row>
      <xdr:rowOff>606240</xdr:rowOff>
    </xdr:to>
    <xdr:pic>
      <xdr:nvPicPr>
        <xdr:cNvPr id="39" name="Image 40" descr="Picture"/>
        <xdr:cNvPicPr/>
      </xdr:nvPicPr>
      <xdr:blipFill>
        <a:blip r:embed="rId40"/>
        <a:stretch/>
      </xdr:blipFill>
      <xdr:spPr>
        <a:xfrm>
          <a:off x="775440" y="12925440"/>
          <a:ext cx="606240" cy="606240"/>
        </a:xfrm>
        <a:prstGeom prst="rect">
          <a:avLst/>
        </a:prstGeom>
        <a:ln w="0">
          <a:noFill/>
        </a:ln>
      </xdr:spPr>
    </xdr:pic>
    <xdr:clientData/>
  </xdr:twoCellAnchor>
  <xdr:twoCellAnchor editAs="oneCell">
    <xdr:from>
      <xdr:col>0</xdr:col>
      <xdr:colOff>0</xdr:colOff>
      <xdr:row>17</xdr:row>
      <xdr:rowOff>0</xdr:rowOff>
    </xdr:from>
    <xdr:to>
      <xdr:col>0</xdr:col>
      <xdr:colOff>606600</xdr:colOff>
      <xdr:row>17</xdr:row>
      <xdr:rowOff>606600</xdr:rowOff>
    </xdr:to>
    <xdr:pic>
      <xdr:nvPicPr>
        <xdr:cNvPr id="40" name="Image 41" descr="Picture"/>
        <xdr:cNvPicPr/>
      </xdr:nvPicPr>
      <xdr:blipFill>
        <a:blip r:embed="rId41"/>
        <a:stretch/>
      </xdr:blipFill>
      <xdr:spPr>
        <a:xfrm>
          <a:off x="0" y="9153360"/>
          <a:ext cx="606600" cy="606600"/>
        </a:xfrm>
        <a:prstGeom prst="rect">
          <a:avLst/>
        </a:prstGeom>
        <a:ln w="0">
          <a:noFill/>
        </a:ln>
      </xdr:spPr>
    </xdr:pic>
    <xdr:clientData/>
  </xdr:twoCellAnchor>
  <xdr:twoCellAnchor editAs="oneCell">
    <xdr:from>
      <xdr:col>1</xdr:col>
      <xdr:colOff>0</xdr:colOff>
      <xdr:row>17</xdr:row>
      <xdr:rowOff>0</xdr:rowOff>
    </xdr:from>
    <xdr:to>
      <xdr:col>1</xdr:col>
      <xdr:colOff>606600</xdr:colOff>
      <xdr:row>17</xdr:row>
      <xdr:rowOff>606600</xdr:rowOff>
    </xdr:to>
    <xdr:pic>
      <xdr:nvPicPr>
        <xdr:cNvPr id="41" name="Image 42" descr="Picture"/>
        <xdr:cNvPicPr/>
      </xdr:nvPicPr>
      <xdr:blipFill>
        <a:blip r:embed="rId42"/>
        <a:stretch/>
      </xdr:blipFill>
      <xdr:spPr>
        <a:xfrm>
          <a:off x="775440" y="9153360"/>
          <a:ext cx="606600" cy="606600"/>
        </a:xfrm>
        <a:prstGeom prst="rect">
          <a:avLst/>
        </a:prstGeom>
        <a:ln w="0">
          <a:noFill/>
        </a:ln>
      </xdr:spPr>
    </xdr:pic>
    <xdr:clientData/>
  </xdr:twoCellAnchor>
  <xdr:twoCellAnchor editAs="oneCell">
    <xdr:from>
      <xdr:col>0</xdr:col>
      <xdr:colOff>0</xdr:colOff>
      <xdr:row>18</xdr:row>
      <xdr:rowOff>0</xdr:rowOff>
    </xdr:from>
    <xdr:to>
      <xdr:col>0</xdr:col>
      <xdr:colOff>606600</xdr:colOff>
      <xdr:row>18</xdr:row>
      <xdr:rowOff>606600</xdr:rowOff>
    </xdr:to>
    <xdr:pic>
      <xdr:nvPicPr>
        <xdr:cNvPr id="42" name="Image 43" descr="Picture"/>
        <xdr:cNvPicPr/>
      </xdr:nvPicPr>
      <xdr:blipFill>
        <a:blip r:embed="rId43"/>
        <a:stretch/>
      </xdr:blipFill>
      <xdr:spPr>
        <a:xfrm>
          <a:off x="0" y="9782280"/>
          <a:ext cx="606600" cy="606600"/>
        </a:xfrm>
        <a:prstGeom prst="rect">
          <a:avLst/>
        </a:prstGeom>
        <a:ln w="0">
          <a:noFill/>
        </a:ln>
      </xdr:spPr>
    </xdr:pic>
    <xdr:clientData/>
  </xdr:twoCellAnchor>
  <xdr:twoCellAnchor editAs="oneCell">
    <xdr:from>
      <xdr:col>1</xdr:col>
      <xdr:colOff>0</xdr:colOff>
      <xdr:row>18</xdr:row>
      <xdr:rowOff>0</xdr:rowOff>
    </xdr:from>
    <xdr:to>
      <xdr:col>1</xdr:col>
      <xdr:colOff>606600</xdr:colOff>
      <xdr:row>18</xdr:row>
      <xdr:rowOff>606600</xdr:rowOff>
    </xdr:to>
    <xdr:pic>
      <xdr:nvPicPr>
        <xdr:cNvPr id="43" name="Image 44" descr="Picture"/>
        <xdr:cNvPicPr/>
      </xdr:nvPicPr>
      <xdr:blipFill>
        <a:blip r:embed="rId44"/>
        <a:stretch/>
      </xdr:blipFill>
      <xdr:spPr>
        <a:xfrm>
          <a:off x="775440" y="9782280"/>
          <a:ext cx="606600" cy="606600"/>
        </a:xfrm>
        <a:prstGeom prst="rect">
          <a:avLst/>
        </a:prstGeom>
        <a:ln w="0">
          <a:noFill/>
        </a:ln>
      </xdr:spPr>
    </xdr:pic>
    <xdr:clientData/>
  </xdr:twoCellAnchor>
  <xdr:twoCellAnchor editAs="oneCell">
    <xdr:from>
      <xdr:col>0</xdr:col>
      <xdr:colOff>0</xdr:colOff>
      <xdr:row>5</xdr:row>
      <xdr:rowOff>0</xdr:rowOff>
    </xdr:from>
    <xdr:to>
      <xdr:col>0</xdr:col>
      <xdr:colOff>606600</xdr:colOff>
      <xdr:row>5</xdr:row>
      <xdr:rowOff>606600</xdr:rowOff>
    </xdr:to>
    <xdr:pic>
      <xdr:nvPicPr>
        <xdr:cNvPr id="44" name="Image 45" descr="Picture"/>
        <xdr:cNvPicPr/>
      </xdr:nvPicPr>
      <xdr:blipFill>
        <a:blip r:embed="rId45"/>
        <a:stretch/>
      </xdr:blipFill>
      <xdr:spPr>
        <a:xfrm>
          <a:off x="0" y="1609560"/>
          <a:ext cx="606600" cy="606600"/>
        </a:xfrm>
        <a:prstGeom prst="rect">
          <a:avLst/>
        </a:prstGeom>
        <a:ln w="0">
          <a:noFill/>
        </a:ln>
      </xdr:spPr>
    </xdr:pic>
    <xdr:clientData/>
  </xdr:twoCellAnchor>
  <xdr:twoCellAnchor editAs="oneCell">
    <xdr:from>
      <xdr:col>1</xdr:col>
      <xdr:colOff>0</xdr:colOff>
      <xdr:row>5</xdr:row>
      <xdr:rowOff>0</xdr:rowOff>
    </xdr:from>
    <xdr:to>
      <xdr:col>1</xdr:col>
      <xdr:colOff>606600</xdr:colOff>
      <xdr:row>5</xdr:row>
      <xdr:rowOff>606600</xdr:rowOff>
    </xdr:to>
    <xdr:pic>
      <xdr:nvPicPr>
        <xdr:cNvPr id="45" name="Image 46" descr="Picture"/>
        <xdr:cNvPicPr/>
      </xdr:nvPicPr>
      <xdr:blipFill>
        <a:blip r:embed="rId46"/>
        <a:stretch/>
      </xdr:blipFill>
      <xdr:spPr>
        <a:xfrm>
          <a:off x="775440" y="1609560"/>
          <a:ext cx="606600" cy="6066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T42"/>
  <sheetViews>
    <sheetView showFormulas="0" showGridLines="1" showRowColHeaders="1" showZeros="1" rightToLeft="0" tabSelected="1"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11" customWidth="1" style="41" min="1" max="2"/>
    <col width="9" customWidth="1" style="41" min="3" max="3"/>
    <col width="20" customWidth="1" style="41" min="4" max="4"/>
    <col width="12" customWidth="1" style="41" min="5" max="5"/>
    <col width="30" customWidth="1" style="41" min="6" max="6"/>
    <col width="8" customWidth="1" style="41" min="7" max="7"/>
    <col width="11" customWidth="1" style="41" min="8" max="8"/>
    <col width="13" customWidth="1" style="41" min="9" max="10"/>
    <col width="8" customWidth="1" style="41" min="11" max="11"/>
    <col width="12" customWidth="1" style="41" min="12" max="13"/>
    <col width="8" customWidth="1" style="41" min="14" max="14"/>
    <col width="55" customWidth="1" style="41" min="15" max="15"/>
    <col width="60" customWidth="1" style="41" min="16" max="16"/>
    <col width="110" customWidth="1" style="41" min="17" max="17"/>
    <col width="55" customWidth="1" style="41" min="18" max="18"/>
  </cols>
  <sheetData>
    <row r="1" ht="17.25" customHeight="1" s="42">
      <c r="C1" s="43" t="inlineStr">
        <is>
          <t>ADT — Récapitulatif des personnages</t>
        </is>
      </c>
      <c r="D1" s="44" t="n"/>
      <c r="E1" s="44" t="n"/>
      <c r="F1" s="44" t="n"/>
      <c r="G1" s="44" t="n"/>
      <c r="H1" s="44" t="n"/>
      <c r="I1" s="44" t="n"/>
      <c r="J1" s="44" t="n"/>
      <c r="K1" s="44" t="n"/>
      <c r="L1" s="44" t="n"/>
      <c r="M1" s="44" t="n"/>
      <c r="N1" s="44" t="n"/>
      <c r="O1" s="44" t="n"/>
      <c r="P1" s="44" t="n"/>
      <c r="Q1" s="44" t="n"/>
      <c r="R1" s="44" t="n"/>
      <c r="S1" s="44" t="n"/>
    </row>
    <row r="2" ht="15" customHeight="1" s="42">
      <c r="C2" s="45" t="inlineStr">
        <is>
          <t>Les 20 troufions, puis les trois PJ, tous Évêques Sombres. Cellules jaunes = donnée jamais postée ; rouges = écart avec le barème. Le barème ne vaut que pour les troufions : « n/a » ailleurs.</t>
        </is>
      </c>
      <c r="D2" s="44" t="n"/>
      <c r="E2" s="44" t="n"/>
      <c r="F2" s="44" t="n"/>
      <c r="G2" s="44" t="n"/>
      <c r="H2" s="44" t="n"/>
      <c r="I2" s="44" t="n"/>
      <c r="J2" s="44" t="n"/>
      <c r="K2" s="44" t="n"/>
      <c r="L2" s="44" t="n"/>
      <c r="M2" s="44" t="n"/>
      <c r="N2" s="44" t="n"/>
      <c r="O2" s="44" t="n"/>
      <c r="P2" s="44" t="n"/>
      <c r="Q2" s="44" t="n"/>
      <c r="R2" s="44" t="n"/>
      <c r="S2" s="44" t="n"/>
    </row>
    <row r="3" ht="15" customHeight="1" s="42">
      <c r="C3" s="44" t="n"/>
      <c r="D3" s="44" t="n"/>
      <c r="E3" s="44" t="n"/>
      <c r="F3" s="44" t="n"/>
      <c r="G3" s="44" t="n"/>
      <c r="H3" s="44" t="n"/>
      <c r="I3" s="44" t="n"/>
      <c r="J3" s="44" t="n"/>
      <c r="K3" s="44" t="n"/>
      <c r="L3" s="44" t="n"/>
      <c r="M3" s="44" t="n"/>
      <c r="N3" s="44" t="n"/>
      <c r="O3" s="44" t="n"/>
      <c r="P3" s="44" t="n"/>
      <c r="Q3" s="44" t="n"/>
      <c r="R3" s="44" t="n"/>
      <c r="S3" s="44" t="n"/>
    </row>
    <row r="4" ht="30" customHeight="1" s="42">
      <c r="A4" s="46" t="inlineStr">
        <is>
          <t>Portrait
cultiste</t>
        </is>
      </c>
      <c r="B4" s="46" t="inlineStr">
        <is>
          <t>Portrait
civil</t>
        </is>
      </c>
      <c r="C4" s="46" t="inlineStr">
        <is>
          <t>Alias</t>
        </is>
      </c>
      <c r="D4" s="46" t="inlineStr">
        <is>
          <t>Nom / Prénom</t>
        </is>
      </c>
      <c r="E4" s="46" t="inlineStr">
        <is>
          <t>Âge</t>
        </is>
      </c>
      <c r="F4" s="46" t="inlineStr">
        <is>
          <t>Statut</t>
        </is>
      </c>
      <c r="G4" s="46" t="inlineStr">
        <is>
          <t>Joueur</t>
        </is>
      </c>
      <c r="H4" s="46" t="inlineStr">
        <is>
          <t>Groupe</t>
        </is>
      </c>
      <c r="I4" s="46" t="inlineStr">
        <is>
          <t>Badges</t>
        </is>
      </c>
      <c r="J4" s="46" t="inlineStr">
        <is>
          <t>Nb compét.</t>
        </is>
      </c>
      <c r="K4" s="46" t="inlineStr">
        <is>
          <t>Budget compét.</t>
        </is>
      </c>
      <c r="L4" s="46" t="inlineStr">
        <is>
          <t>Budget attendu</t>
        </is>
      </c>
      <c r="M4" s="46" t="inlineStr">
        <is>
          <t>Écart</t>
        </is>
      </c>
      <c r="N4" s="46" t="inlineStr">
        <is>
          <t>Nb Pokémon</t>
        </is>
      </c>
      <c r="O4" s="46" t="inlineStr">
        <is>
          <t>Nb attendu</t>
        </is>
      </c>
      <c r="P4" s="46" t="inlineStr">
        <is>
          <t>Écart</t>
        </is>
      </c>
      <c r="Q4" s="46" t="inlineStr">
        <is>
          <t>Compétences (détail)</t>
        </is>
      </c>
      <c r="R4" s="46" t="inlineStr">
        <is>
          <t>Traits principaux</t>
        </is>
      </c>
      <c r="S4" s="46" t="inlineStr">
        <is>
          <t>Background</t>
        </is>
      </c>
      <c r="T4" s="46" t="inlineStr">
        <is>
          <t>Atouts croisés</t>
        </is>
      </c>
    </row>
    <row r="5" ht="49.5" customHeight="1" s="42">
      <c r="A5" s="47" t="n"/>
      <c r="B5" s="47" t="n"/>
      <c r="C5" s="48" t="inlineStr">
        <is>
          <t>Frère Boule</t>
        </is>
      </c>
      <c r="D5" s="49" t="n"/>
      <c r="E5" s="49" t="n"/>
      <c r="F5" s="48" t="inlineStr">
        <is>
          <t>Troufion</t>
        </is>
      </c>
      <c r="G5" s="48" t="n"/>
      <c r="H5" s="48" t="inlineStr">
        <is>
          <t>Groupe 1 - Famille Raccourci</t>
        </is>
      </c>
      <c r="I5" s="48" t="n">
        <v>5</v>
      </c>
      <c r="J5" s="48">
        <f>COUNTIFS(Compétences!$A$2:$A$101,$A5)</f>
        <v/>
      </c>
      <c r="K5" s="48">
        <f>IF($H5=0,"",SUMPRODUCT((Compétences!$A$2:$A$101=$A5)*ABS(Compétences!$F$2:$F$101)))</f>
        <v/>
      </c>
      <c r="L5" s="48">
        <f>IF($D5&lt;&gt;"Troufion","n/a",2+2*$G5)</f>
        <v/>
      </c>
      <c r="M5" s="48">
        <f>IF($D5&lt;&gt;"Troufion","n/a",IF($H5=0,"n/c",$I5-$J5))</f>
        <v/>
      </c>
      <c r="N5" s="48">
        <f>COUNTIFS('Équipes Pokémon'!$A$2:$A$115,$A5)</f>
        <v/>
      </c>
      <c r="O5" s="48">
        <f>IF($D5&lt;&gt;"Troufion","n/a",MIN($G5+2,6))</f>
        <v/>
      </c>
      <c r="P5" s="48">
        <f>IF($D5&lt;&gt;"Troufion","n/a",IF($L5=0,"n/c",$L5-$M5))</f>
        <v/>
      </c>
      <c r="Q5" s="48" t="inlineStr">
        <is>
          <t>Baston +4, Stratégie +3, Athlétisme +2, Coach +2, Infiltration +1</t>
        </is>
      </c>
      <c r="R5" s="48" t="inlineStr">
        <is>
          <t>Très peu bavard - Chafouin sur sa calvitie - Geôlier de la secte</t>
        </is>
      </c>
      <c r="S5" s="48" t="inlineStr">
        <is>
          <t>Leader de la famille Raccourci, fils de Frère Fouras et père des enfants Raccourci. Très peu bavard, il préfère laisser parler la force pour faire passer ses messages. L'état de sa pilosité crânienne le rend chafouin. On dit qu'il enferme dans la cave familiale tous ceux qui font une remarque de trop sur ce sujet. Contribue à la secte comme geôlier, bien qu'il ne soit pas rapide pour intervenir en cas d'incident.</t>
        </is>
      </c>
      <c r="T5" s="48" t="n"/>
    </row>
    <row r="6" ht="49.5" customHeight="1" s="42">
      <c r="A6" s="50" t="n"/>
      <c r="B6" s="50" t="n"/>
      <c r="C6" s="51" t="inlineStr">
        <is>
          <t>Frère Jack</t>
        </is>
      </c>
      <c r="D6" s="49" t="n"/>
      <c r="E6" s="49" t="n"/>
      <c r="F6" s="51" t="inlineStr">
        <is>
          <t>Troufion</t>
        </is>
      </c>
      <c r="G6" s="51" t="n"/>
      <c r="H6" s="51" t="inlineStr">
        <is>
          <t>Groupe 2</t>
        </is>
      </c>
      <c r="I6" s="51" t="n">
        <v>5</v>
      </c>
      <c r="J6" s="51">
        <f>COUNTIFS(Compétences!$A$2:$A$101,$A6)</f>
        <v/>
      </c>
      <c r="K6" s="51">
        <f>IF($H6=0,"",SUMPRODUCT((Compétences!$A$2:$A$101=$A6)*ABS(Compétences!$F$2:$F$101)))</f>
        <v/>
      </c>
      <c r="L6" s="51">
        <f>IF($D6&lt;&gt;"Troufion","n/a",2+2*$G6)</f>
        <v/>
      </c>
      <c r="M6" s="51">
        <f>IF($D6&lt;&gt;"Troufion","n/a",IF($H6=0,"n/c",$I6-$J6))</f>
        <v/>
      </c>
      <c r="N6" s="51">
        <f>COUNTIFS('Équipes Pokémon'!$A$2:$A$115,$A6)</f>
        <v/>
      </c>
      <c r="O6" s="51">
        <f>IF($D6&lt;&gt;"Troufion","n/a",MIN($G6+2,6))</f>
        <v/>
      </c>
      <c r="P6" s="51">
        <f>IF($D6&lt;&gt;"Troufion","n/a",IF($L6=0,"n/c",$L6-$M6))</f>
        <v/>
      </c>
      <c r="Q6" s="51" t="inlineStr">
        <is>
          <t>Ésotérisme +5, Stratégie +4, Secourisme +2, Théologie +1</t>
        </is>
      </c>
      <c r="R6" s="51" t="inlineStr">
        <is>
          <t>Brillant - Trop curieux - Légiste et médecin marron - Tarifs indexés sur la fortune du patient</t>
        </is>
      </c>
      <c r="S6" s="51" t="inlineStr">
        <is>
          <t>Étudiant en médecine brillant et curieux, trop curieux. Son intérêt grandissant pour les pratiques rituelles et pour la source physique de l'énergie dans un corps lui a valu d'être mis au ban du monde médical. Ces envies ont trouvé écho chez les ADT, où il peut les exercer à loisir. À la fois légiste et médecin marron, il est sollicité par des personnes fortunées aux maladies rares ou incurables, qui ont besoin de son savoir-faire excentrique et ésotérique mais néanmoins efficace. Ses services ont un coût à la hauteur de la fortune de ses patients, sauf pour ceux qu'il chérit. Il est ainsi l'un des soigneurs principaux chez les ADT. Il lui arrive aussi de prendre part aux rituels avec Dark Pommier, avec ses scalpels chargés en énergie ésotérique et son fidèle Unjoy.</t>
        </is>
      </c>
      <c r="T6" s="49" t="inlineStr">
        <is>
          <t>À DÉFINIR</t>
        </is>
      </c>
    </row>
    <row r="7" ht="49.5" customHeight="1" s="42">
      <c r="A7" s="52" t="n"/>
      <c r="B7" s="52" t="n"/>
      <c r="C7" s="53" t="inlineStr">
        <is>
          <t>Frère Pierrot</t>
        </is>
      </c>
      <c r="D7" s="53" t="inlineStr">
        <is>
          <t>Baudet, Achille (identité officielle : John Doe)</t>
        </is>
      </c>
      <c r="E7" s="53" t="inlineStr">
        <is>
          <t>29 ans</t>
        </is>
      </c>
      <c r="F7" s="53" t="inlineStr">
        <is>
          <t>Troufion</t>
        </is>
      </c>
      <c r="G7" s="53" t="n"/>
      <c r="H7" s="53" t="inlineStr">
        <is>
          <t>Groupe 4</t>
        </is>
      </c>
      <c r="I7" s="53" t="n">
        <v>5</v>
      </c>
      <c r="J7" s="53">
        <f>COUNTIFS(Compétences!$A$2:$A$101,$A7)</f>
        <v/>
      </c>
      <c r="K7" s="53">
        <f>IF($H7=0,"",SUMPRODUCT((Compétences!$A$2:$A$101=$A7)*ABS(Compétences!$F$2:$F$101)))</f>
        <v/>
      </c>
      <c r="L7" s="53">
        <f>IF($D7&lt;&gt;"Troufion","n/a",2+2*$G7)</f>
        <v/>
      </c>
      <c r="M7" s="53">
        <f>IF($D7&lt;&gt;"Troufion","n/a",IF($H7=0,"n/c",$I7-$J7))</f>
        <v/>
      </c>
      <c r="N7" s="53">
        <f>COUNTIFS('Équipes Pokémon'!$A$2:$A$115,$A7)</f>
        <v/>
      </c>
      <c r="O7" s="53">
        <f>IF($D7&lt;&gt;"Troufion","n/a",MIN($G7+2,6))</f>
        <v/>
      </c>
      <c r="P7" s="53">
        <f>IF($D7&lt;&gt;"Troufion","n/a",IF($L7=0,"n/c",$L7-$M7))</f>
        <v/>
      </c>
      <c r="Q7" s="53" t="inlineStr">
        <is>
          <t>Baston +4, Infiltrateur +3, Psychologue +2, Athlétisme +2, Observateur +1</t>
        </is>
      </c>
      <c r="R7" s="53" t="inlineStr">
        <is>
          <t>Enjoué - Théâtral - Absolument sans foi ni loi - Ne s'intéresse qu'aux adversaires qui souffrent bien et aux forts moins puissants que lui - Ponctuel - Poli (quand il n'est pas dans un état second) - Psychopathe - Sociopathe - Sadomasochiste</t>
        </is>
      </c>
      <c r="S7" s="53" t="inlineStr">
        <is>
          <t>Équilibriste puis clown blanc dans un cirque itinérant de la côte. Six disparitions le long de la tournée entre Bordeleaux et Ajaxcité en quatre ans ; aucune enquête n'a abouti, parce que le cirque était déjà à trois villes de là. Les ADT ne l'ont pas converti : ils lui ont proposé un approvisionnement régulier en victimes. Il a dit oui avant la fin de la phrase, tout en tranchant la gorge d'un frère pas convaincu par ses capacités. Il assiste aux offices, connaît les cantiques par cœur, et n'a jamais cru un mot de rien. Les Évêques le savent et s'en accommodent tant qu'il est utile à la cause.</t>
        </is>
      </c>
      <c r="T7" s="53" t="n"/>
    </row>
    <row r="8" ht="49.5" customHeight="1" s="42">
      <c r="A8" s="54" t="n"/>
      <c r="B8" s="54" t="n"/>
      <c r="C8" s="55" t="inlineStr">
        <is>
          <t>Frère Rapace</t>
        </is>
      </c>
      <c r="D8" s="49" t="n"/>
      <c r="E8" s="49" t="n"/>
      <c r="F8" s="55" t="inlineStr">
        <is>
          <t>Troufion</t>
        </is>
      </c>
      <c r="G8" s="55" t="n"/>
      <c r="H8" s="55" t="inlineStr">
        <is>
          <t>Groupe 3</t>
        </is>
      </c>
      <c r="I8" s="55" t="n">
        <v>5</v>
      </c>
      <c r="J8" s="55">
        <f>COUNTIFS(Compétences!$A$2:$A$101,$A8)</f>
        <v/>
      </c>
      <c r="K8" s="55">
        <f>IF($H8=0,"",SUMPRODUCT((Compétences!$A$2:$A$101=$A8)*ABS(Compétences!$F$2:$F$101)))</f>
        <v/>
      </c>
      <c r="L8" s="55">
        <f>IF($D8&lt;&gt;"Troufion","n/a",2+2*$G8)</f>
        <v/>
      </c>
      <c r="M8" s="55">
        <f>IF($D8&lt;&gt;"Troufion","n/a",IF($H8=0,"n/c",$I8-$J8))</f>
        <v/>
      </c>
      <c r="N8" s="55">
        <f>COUNTIFS('Équipes Pokémon'!$A$2:$A$115,$A8)</f>
        <v/>
      </c>
      <c r="O8" s="55">
        <f>IF($D8&lt;&gt;"Troufion","n/a",MIN($G8+2,6))</f>
        <v/>
      </c>
      <c r="P8" s="55">
        <f>IF($D8&lt;&gt;"Troufion","n/a",IF($L8=0,"n/c",$L8-$M8))</f>
        <v/>
      </c>
      <c r="Q8" s="55" t="inlineStr">
        <is>
          <t>Stratégie +3, Marchandage +5, Psychologie +2, Observateur +2</t>
        </is>
      </c>
      <c r="R8" s="55" t="inlineStr">
        <is>
          <t>Porte de préférence un masque à bec de rapace - Maire de Corrésone</t>
        </is>
      </c>
      <c r="S8" s="55" t="inlineStr">
        <is>
          <t>Maire de Corrésone. Sa vie a été sauvée par Sœur Automne lors du raid, face à l'attaque Ultralaser d'Olivier.</t>
        </is>
      </c>
      <c r="T8" s="49" t="inlineStr">
        <is>
          <t>À DÉFINIR</t>
        </is>
      </c>
    </row>
    <row r="9" ht="49.5" customHeight="1" s="42">
      <c r="A9" s="52" t="n"/>
      <c r="B9" s="52" t="n"/>
      <c r="C9" s="53" t="inlineStr">
        <is>
          <t>Frère Dictateur</t>
        </is>
      </c>
      <c r="D9" s="53" t="inlineStr">
        <is>
          <t>Kyembé Prospère Junior Cornélius Parfait Mufasa Dieudonné Mobutu (« Kyky »)</t>
        </is>
      </c>
      <c r="E9" s="53" t="inlineStr">
        <is>
          <t>22 ans</t>
        </is>
      </c>
      <c r="F9" s="53" t="inlineStr">
        <is>
          <t>Troufion</t>
        </is>
      </c>
      <c r="G9" s="53" t="n"/>
      <c r="H9" s="53" t="inlineStr">
        <is>
          <t>Groupe 4</t>
        </is>
      </c>
      <c r="I9" s="53" t="n">
        <v>4</v>
      </c>
      <c r="J9" s="53">
        <f>COUNTIFS(Compétences!$A$2:$A$101,$A9)</f>
        <v/>
      </c>
      <c r="K9" s="53">
        <f>IF($H9=0,"",SUMPRODUCT((Compétences!$A$2:$A$101=$A9)*ABS(Compétences!$F$2:$F$101)))</f>
        <v/>
      </c>
      <c r="L9" s="53">
        <f>IF($D9&lt;&gt;"Troufion","n/a",2+2*$G9)</f>
        <v/>
      </c>
      <c r="M9" s="53">
        <f>IF($D9&lt;&gt;"Troufion","n/a",IF($H9=0,"n/c",$I9-$J9))</f>
        <v/>
      </c>
      <c r="N9" s="53">
        <f>COUNTIFS('Équipes Pokémon'!$A$2:$A$115,$A9)</f>
        <v/>
      </c>
      <c r="O9" s="53">
        <f>IF($D9&lt;&gt;"Troufion","n/a",MIN($G9+2,6))</f>
        <v/>
      </c>
      <c r="P9" s="53">
        <f>IF($D9&lt;&gt;"Troufion","n/a",IF($L9=0,"n/c",$L9-$M9))</f>
        <v/>
      </c>
      <c r="Q9" s="53" t="inlineStr">
        <is>
          <t>Stratège +4, Coach +3, Social +2, Athlétisme +1</t>
        </is>
      </c>
      <c r="R9" s="53" t="inlineStr">
        <is>
          <t>Imbu de lui-même - Autoritaire - Réellement brillant - Mauvais perdant - Générosité imprévisible - Moqueur - Leader</t>
        </is>
      </c>
      <c r="S9" s="53" t="inlineStr">
        <is>
          <t>Fils d'un chef d'État du Ma'Greb, envoyé faire ses études à Kalos. Personne dans son entourage n'a vérifié laquelle des deux Kalos. Il a atterri au Sud avec des papiers d'étudiant et a découvert trop tard qu'entrer au Nord avec une carte du Sud est interdit ; impossible pour lui également de rentrer chez lui. Il est piégé. Les ADT ne lui ont pas menti sur leur nature, ils lui ont promis une sortie du territoire et la gloire éternelle. Excellent élément, prêt à tout pour la victoire. Fort, mais pas dangereux : il gagne des combats, n'a jamais fait de mal à personne et n'en a aucune envie — mais ce n'est pas pour autant qu'il empêchera ses collègues d'en faire. Il se présente en récitant le protocole officiel du Ma'Greb, qui s'allonge à chaque présentation.</t>
        </is>
      </c>
      <c r="T9" s="53" t="n"/>
    </row>
    <row r="10" ht="49.5" customHeight="1" s="42">
      <c r="A10" s="47" t="n"/>
      <c r="B10" s="47" t="n"/>
      <c r="C10" s="48" t="inlineStr">
        <is>
          <t>Frère Fouras</t>
        </is>
      </c>
      <c r="D10" s="49" t="n"/>
      <c r="E10" s="49" t="n"/>
      <c r="F10" s="48" t="inlineStr">
        <is>
          <t>Troufion</t>
        </is>
      </c>
      <c r="G10" s="48" t="n"/>
      <c r="H10" s="48" t="inlineStr">
        <is>
          <t>Groupe 1 - Famille Raccourci</t>
        </is>
      </c>
      <c r="I10" s="48" t="n">
        <v>4</v>
      </c>
      <c r="J10" s="48">
        <f>COUNTIFS(Compétences!$A$2:$A$101,$A10)</f>
        <v/>
      </c>
      <c r="K10" s="48">
        <f>IF($H10=0,"",SUMPRODUCT((Compétences!$A$2:$A$101=$A10)*ABS(Compétences!$F$2:$F$101)))</f>
        <v/>
      </c>
      <c r="L10" s="48">
        <f>IF($D10&lt;&gt;"Troufion","n/a",2+2*$G10)</f>
        <v/>
      </c>
      <c r="M10" s="48">
        <f>IF($D10&lt;&gt;"Troufion","n/a",IF($H10=0,"n/c",$I10-$J10))</f>
        <v/>
      </c>
      <c r="N10" s="48">
        <f>COUNTIFS('Équipes Pokémon'!$A$2:$A$115,$A10)</f>
        <v/>
      </c>
      <c r="O10" s="48">
        <f>IF($D10&lt;&gt;"Troufion","n/a",MIN($G10+2,6))</f>
        <v/>
      </c>
      <c r="P10" s="48">
        <f>IF($D10&lt;&gt;"Troufion","n/a",IF($L10=0,"n/c",$L10-$M10))</f>
        <v/>
      </c>
      <c r="Q10" s="48" t="inlineStr">
        <is>
          <t>Psychologie +4, Stratégie +3, Naturalisme +2, Observation +1</t>
        </is>
      </c>
      <c r="R10" s="48" t="inlineStr">
        <is>
          <t>Manie la disruption adverse à l'aide de petites énigmes</t>
        </is>
      </c>
      <c r="S10" s="48" t="inlineStr">
        <is>
          <t>Patriarche de la famille Raccourci. Bon dresseur, son niveau de stratégie a diminué avec l'âge. Il manie la disruption adverse avec brio à l'aide de petites énigmes simples mais qui demandent un peu de réflexion.</t>
        </is>
      </c>
      <c r="T10" s="48" t="n"/>
    </row>
    <row r="11" ht="49.5" customHeight="1" s="42">
      <c r="A11" s="54" t="n"/>
      <c r="B11" s="54" t="n"/>
      <c r="C11" s="55" t="inlineStr">
        <is>
          <t>Frère Maskass</t>
        </is>
      </c>
      <c r="D11" s="55" t="inlineStr">
        <is>
          <t>d'Orcemont, Henri</t>
        </is>
      </c>
      <c r="E11" s="55" t="inlineStr">
        <is>
          <t>27 ans</t>
        </is>
      </c>
      <c r="F11" s="55" t="inlineStr">
        <is>
          <t>Troufion</t>
        </is>
      </c>
      <c r="G11" s="55" t="n"/>
      <c r="H11" s="55" t="inlineStr">
        <is>
          <t>Groupe 3</t>
        </is>
      </c>
      <c r="I11" s="55" t="n">
        <v>4</v>
      </c>
      <c r="J11" s="55">
        <f>COUNTIFS(Compétences!$A$2:$A$101,$A11)</f>
        <v/>
      </c>
      <c r="K11" s="55">
        <f>IF($H11=0,"",SUMPRODUCT((Compétences!$A$2:$A$101=$A11)*ABS(Compétences!$F$2:$F$101)))</f>
        <v/>
      </c>
      <c r="L11" s="55">
        <f>IF($D11&lt;&gt;"Troufion","n/a",2+2*$G11)</f>
        <v/>
      </c>
      <c r="M11" s="55">
        <f>IF($D11&lt;&gt;"Troufion","n/a",IF($H11=0,"n/c",$I11-$J11))</f>
        <v/>
      </c>
      <c r="N11" s="55">
        <f>COUNTIFS('Équipes Pokémon'!$A$2:$A$115,$A11)</f>
        <v/>
      </c>
      <c r="O11" s="55">
        <f>IF($D11&lt;&gt;"Troufion","n/a",MIN($G11+2,6))</f>
        <v/>
      </c>
      <c r="P11" s="55">
        <f>IF($D11&lt;&gt;"Troufion","n/a",IF($L11=0,"n/c",$L11-$M11))</f>
        <v/>
      </c>
      <c r="Q11" s="55" t="inlineStr">
        <is>
          <t>Baston +2, Stratège +2, Social +2, Observateur +2, Théologie +2</t>
        </is>
      </c>
      <c r="R11" s="55" t="inlineStr">
        <is>
          <t>Aigri - Renfermé - Sarcasme défensif permanent - Charismatique mais furieux que ça ne lui serve plus à rien - Ne supporte pas la pitié, encore moins la gentillesse</t>
        </is>
      </c>
      <c r="S11" s="55" t="inlineStr">
        <is>
          <t>Fils d'Évêque, élevé dans la secte, promis à tout, et surtout beau et charismatique. Il a été défiguré récemment : la moitié droite du visage est détruite. Depuis, il porte un masque et ne le retire devant personne. Il a cessé d'aller aux repas communs, puis aux offices non obligatoires, puis de répondre autrement que par le strict nécessaire. Il reste un bon élément de terrain et il le sait, ce qui le rend d'autant plus amer que ce soit désormais la seule chose qu'on lui reconnaisse. Souvent avec Dark, contre son gré, mais c'est ce que veut le grand chef.</t>
        </is>
      </c>
      <c r="T11" s="55" t="n"/>
    </row>
    <row r="12" ht="49.5" customHeight="1" s="42">
      <c r="A12" s="50" t="n"/>
      <c r="B12" s="50" t="n"/>
      <c r="C12" s="51" t="inlineStr">
        <is>
          <t>Sœur Vouivre</t>
        </is>
      </c>
      <c r="D12" s="51" t="inlineStr">
        <is>
          <t>Aveline, Sérène</t>
        </is>
      </c>
      <c r="E12" s="51" t="inlineStr">
        <is>
          <t>43 ans</t>
        </is>
      </c>
      <c r="F12" s="51" t="inlineStr">
        <is>
          <t>Troufion</t>
        </is>
      </c>
      <c r="G12" s="51" t="n"/>
      <c r="H12" s="51" t="inlineStr">
        <is>
          <t>Groupe 2</t>
        </is>
      </c>
      <c r="I12" s="51" t="n">
        <v>4</v>
      </c>
      <c r="J12" s="51">
        <f>COUNTIFS(Compétences!$A$2:$A$101,$A12)</f>
        <v/>
      </c>
      <c r="K12" s="51">
        <f>IF($H12=0,"",SUMPRODUCT((Compétences!$A$2:$A$101=$A12)*ABS(Compétences!$F$2:$F$101)))</f>
        <v/>
      </c>
      <c r="L12" s="51">
        <f>IF($D12&lt;&gt;"Troufion","n/a",2+2*$G12)</f>
        <v/>
      </c>
      <c r="M12" s="51">
        <f>IF($D12&lt;&gt;"Troufion","n/a",IF($H12=0,"n/c",$I12-$J12))</f>
        <v/>
      </c>
      <c r="N12" s="51">
        <f>COUNTIFS('Équipes Pokémon'!$A$2:$A$115,$A12)</f>
        <v/>
      </c>
      <c r="O12" s="51">
        <f>IF($D12&lt;&gt;"Troufion","n/a",MIN($G12+2,6))</f>
        <v/>
      </c>
      <c r="P12" s="51">
        <f>IF($D12&lt;&gt;"Troufion","n/a",IF($L12=0,"n/c",$L12-$M12))</f>
        <v/>
      </c>
      <c r="Q12" s="51" t="inlineStr">
        <is>
          <t>Théologie +4, Chuchoteur +2, Ésotérisme +2, Secourisme +1, Observateur +1</t>
        </is>
      </c>
      <c r="R12" s="51" t="inlineStr">
        <is>
          <t>Douce - Souriante - Absolument inébranlable - Aucune agressivité apparente - Zélée - Obsessionnelle</t>
        </is>
      </c>
      <c r="S12" s="51" t="inlineStr">
        <is>
          <t>Prêtresse de l'Église des dragons légendaires (Reshiram, Zekrom, Kyurem) pendant presque toute sa vie. Puis un type sans formation, sans ordination et sans le moindre respect pour la liturgie s'est mis à produire des miracles qui se réalisaient vraiment : le Prophète Azad. Elle n'a pas perdu la foi, elle a changé de destinataire. Pour une théologienne de carrière, les ADT sont la première religion honnête qu'elle rencontre : des résultats mesurables, contre un prix clairement énoncé, dans un cadre rituel rigoureux. Elle refuse la fusion et le dit ouvertement, ce que personne d'autre n'ose : coller deux créatures ensemble avec de la matière volée est une profanation de l'ordre que les dragons incarnent. Sur ce point précis, elle est plus intransigeante que les Évêques. Point sensible : fixation amoureuse morbide sur les dresseurs possédant de puissants Pokémon reptiliens — elle collectionne les informations sur eux, apprend leurs trajets, leur écrit des lettres qu'elle n'envoie pas, et considère qu'ils lui appartiennent déjà. Parfaitement fonctionnelle et courtoise le reste du temps, ce qui rend la chose difficile à signaler.</t>
        </is>
      </c>
      <c r="T12" s="51" t="n"/>
    </row>
    <row r="13" ht="49.5" customHeight="1" s="42">
      <c r="A13" s="50" t="n"/>
      <c r="B13" s="50" t="n"/>
      <c r="C13" s="51" t="inlineStr">
        <is>
          <t>Frère Menu</t>
        </is>
      </c>
      <c r="D13" s="49" t="n"/>
      <c r="E13" s="49" t="n"/>
      <c r="F13" s="51" t="inlineStr">
        <is>
          <t>Troufion</t>
        </is>
      </c>
      <c r="G13" s="51" t="n"/>
      <c r="H13" s="51" t="inlineStr">
        <is>
          <t>Groupe 2</t>
        </is>
      </c>
      <c r="I13" s="51" t="n">
        <v>3</v>
      </c>
      <c r="J13" s="51">
        <f>COUNTIFS(Compétences!$A$2:$A$101,$A13)</f>
        <v/>
      </c>
      <c r="K13" s="51">
        <f>IF($H13=0,"",SUMPRODUCT((Compétences!$A$2:$A$101=$A13)*ABS(Compétences!$F$2:$F$101)))</f>
        <v/>
      </c>
      <c r="L13" s="51">
        <f>IF($D13&lt;&gt;"Troufion","n/a",2+2*$G13)</f>
        <v/>
      </c>
      <c r="M13" s="51">
        <f>IF($D13&lt;&gt;"Troufion","n/a",IF($H13=0,"n/c",$I13-$J13))</f>
        <v/>
      </c>
      <c r="N13" s="51">
        <f>COUNTIFS('Équipes Pokémon'!$A$2:$A$115,$A13)</f>
        <v/>
      </c>
      <c r="O13" s="51">
        <f>IF($D13&lt;&gt;"Troufion","n/a",MIN($G13+2,6))</f>
        <v/>
      </c>
      <c r="P13" s="51">
        <f>IF($D13&lt;&gt;"Troufion","n/a",IF($L13=0,"n/c",$L13-$M13))</f>
        <v/>
      </c>
      <c r="Q13" s="51" t="inlineStr">
        <is>
          <t>Coach +5, Stratégie +1, Athlétisme -2</t>
        </is>
      </c>
      <c r="R13" s="51" t="inlineStr">
        <is>
          <t>Ancien sportif déchu - Client fidèle de la pizzéria de Dark</t>
        </is>
      </c>
      <c r="S13" s="51" t="inlineStr">
        <is>
          <t>Ancien grand sportif ayant participé au Pokéathlon, tombé en déchéance après plusieurs accusations diverses. Il prend sa revanche au travers des ADT. Client extrêmement fidèle à la pizzéria de Dark.</t>
        </is>
      </c>
      <c r="T13" s="49" t="inlineStr">
        <is>
          <t>À DÉFINIR</t>
        </is>
      </c>
    </row>
    <row r="14" ht="49.5" customHeight="1" s="42">
      <c r="A14" s="47" t="n"/>
      <c r="B14" s="47" t="n"/>
      <c r="C14" s="48" t="inlineStr">
        <is>
          <t>Sœur Dame Blanche</t>
        </is>
      </c>
      <c r="D14" s="49" t="n"/>
      <c r="E14" s="49" t="n"/>
      <c r="F14" s="48" t="inlineStr">
        <is>
          <t>Troufion</t>
        </is>
      </c>
      <c r="G14" s="48" t="n"/>
      <c r="H14" s="48" t="inlineStr">
        <is>
          <t>Groupe 1 - Famille Raccourci</t>
        </is>
      </c>
      <c r="I14" s="48" t="n">
        <v>3</v>
      </c>
      <c r="J14" s="48">
        <f>COUNTIFS(Compétences!$A$2:$A$101,$A14)</f>
        <v/>
      </c>
      <c r="K14" s="48">
        <f>IF($H14=0,"",SUMPRODUCT((Compétences!$A$2:$A$101=$A14)*ABS(Compétences!$F$2:$F$101)))</f>
        <v/>
      </c>
      <c r="L14" s="48">
        <f>IF($D14&lt;&gt;"Troufion","n/a",2+2*$G14)</f>
        <v/>
      </c>
      <c r="M14" s="48">
        <f>IF($D14&lt;&gt;"Troufion","n/a",IF($H14=0,"n/c",$I14-$J14))</f>
        <v/>
      </c>
      <c r="N14" s="48">
        <f>COUNTIFS('Équipes Pokémon'!$A$2:$A$115,$A14)</f>
        <v/>
      </c>
      <c r="O14" s="48">
        <f>IF($D14&lt;&gt;"Troufion","n/a",MIN($G14+2,6))</f>
        <v/>
      </c>
      <c r="P14" s="48">
        <f>IF($D14&lt;&gt;"Troufion","n/a",IF($L14=0,"n/c",$L14-$M14))</f>
        <v/>
      </c>
      <c r="Q14" s="48" t="inlineStr">
        <is>
          <t>Papilusion Social +3, Stratégie +2, Psychologue +2, Coach +1</t>
        </is>
      </c>
      <c r="R14" s="48" t="inlineStr">
        <is>
          <t>Très belle - Caractère très cruel - En quête de l'amour de sa vie</t>
        </is>
      </c>
      <c r="S14" s="48" t="inlineStr">
        <is>
          <t>Seule fille de la famille Raccourci. Elle se distingue par un visage d'une grande beauté, et par un caractère très cruel. Elle profite de sa quête des badges pour rechercher l'amour de sa vie. Tout jeune homme de moins de 1m90 est prié de passer son chemin.</t>
        </is>
      </c>
      <c r="T14" s="48" t="n"/>
    </row>
    <row r="15" ht="49.5" customHeight="1" s="42">
      <c r="A15" s="50" t="n"/>
      <c r="B15" s="50" t="n"/>
      <c r="C15" s="51" t="inlineStr">
        <is>
          <t>Sœur Gardienne</t>
        </is>
      </c>
      <c r="D15" s="49" t="n"/>
      <c r="E15" s="49" t="n"/>
      <c r="F15" s="51" t="inlineStr">
        <is>
          <t>Troufion</t>
        </is>
      </c>
      <c r="G15" s="51" t="n"/>
      <c r="H15" s="51" t="inlineStr">
        <is>
          <t>Groupe 2</t>
        </is>
      </c>
      <c r="I15" s="51" t="n">
        <v>3</v>
      </c>
      <c r="J15" s="51">
        <f>COUNTIFS(Compétences!$A$2:$A$101,$A15)</f>
        <v/>
      </c>
      <c r="K15" s="51">
        <f>IF($H15=0,"",SUMPRODUCT((Compétences!$A$2:$A$101=$A15)*ABS(Compétences!$F$2:$F$101)))</f>
        <v/>
      </c>
      <c r="L15" s="51">
        <f>IF($D15&lt;&gt;"Troufion","n/a",2+2*$G15)</f>
        <v/>
      </c>
      <c r="M15" s="51">
        <f>IF($D15&lt;&gt;"Troufion","n/a",IF($H15=0,"n/c",$I15-$J15))</f>
        <v/>
      </c>
      <c r="N15" s="51">
        <f>COUNTIFS('Équipes Pokémon'!$A$2:$A$115,$A15)</f>
        <v/>
      </c>
      <c r="O15" s="51">
        <f>IF($D15&lt;&gt;"Troufion","n/a",MIN($G15+2,6))</f>
        <v/>
      </c>
      <c r="P15" s="51">
        <f>IF($D15&lt;&gt;"Troufion","n/a",IF($L15=0,"n/c",$L15-$M15))</f>
        <v/>
      </c>
      <c r="Q15" s="51" t="inlineStr">
        <is>
          <t>Stratégie +2, Athlétisme +3, Observation +2, Baston +1</t>
        </is>
      </c>
      <c r="R15" s="51" t="inlineStr">
        <is>
          <t>Désabusée - En deuil de son Pokémon partenaire</t>
        </is>
      </c>
      <c r="S15" s="51" t="inlineStr">
        <is>
          <t>Ranger désabusée, a sombré dans le désespoir suite à la mort de son Pokémon partenaire, un Négapi tombé au cours d'une opération spéciale. A rejoint les ADT qui lui ont promis le repos de son âme en échange de sa coopération.</t>
        </is>
      </c>
      <c r="T15" s="51" t="n"/>
    </row>
    <row r="16" ht="49.5" customHeight="1" s="42">
      <c r="A16" s="52" t="n"/>
      <c r="B16" s="52" t="n"/>
      <c r="C16" s="53" t="inlineStr">
        <is>
          <t>Sœur Pie</t>
        </is>
      </c>
      <c r="D16" s="53" t="inlineStr">
        <is>
          <t>Li, Sha — 李莎</t>
        </is>
      </c>
      <c r="E16" s="53" t="inlineStr">
        <is>
          <t>21 ans</t>
        </is>
      </c>
      <c r="F16" s="53" t="inlineStr">
        <is>
          <t>Troufion</t>
        </is>
      </c>
      <c r="G16" s="53" t="n"/>
      <c r="H16" s="53" t="inlineStr">
        <is>
          <t>Groupe 4</t>
        </is>
      </c>
      <c r="I16" s="53" t="n">
        <v>3</v>
      </c>
      <c r="J16" s="53">
        <f>COUNTIFS(Compétences!$A$2:$A$101,$A16)</f>
        <v/>
      </c>
      <c r="K16" s="53">
        <f>IF($H16=0,"",SUMPRODUCT((Compétences!$A$2:$A$101=$A16)*ABS(Compétences!$F$2:$F$101)))</f>
        <v/>
      </c>
      <c r="L16" s="53">
        <f>IF($D16&lt;&gt;"Troufion","n/a",2+2*$G16)</f>
        <v/>
      </c>
      <c r="M16" s="53">
        <f>IF($D16&lt;&gt;"Troufion","n/a",IF($H16=0,"n/c",$I16-$J16))</f>
        <v/>
      </c>
      <c r="N16" s="53">
        <f>COUNTIFS('Équipes Pokémon'!$A$2:$A$115,$A16)</f>
        <v/>
      </c>
      <c r="O16" s="53">
        <f>IF($D16&lt;&gt;"Troufion","n/a",MIN($G16+2,6))</f>
        <v/>
      </c>
      <c r="P16" s="53">
        <f>IF($D16&lt;&gt;"Troufion","n/a",IF($L16=0,"n/c",$L16-$M16))</f>
        <v/>
      </c>
      <c r="Q16" s="53" t="inlineStr">
        <is>
          <t>Social +2, Observateur +2, Psychologue +2, Infiltrateur +2</t>
        </is>
      </c>
      <c r="R16" s="53" t="inlineStr">
        <is>
          <t>Bavarde compulsive - Curieuse de tout - Shippeuse invétérée - Loyale jusqu'à la bêtise - Terrifiée en permanence et incapable de le montrer autrement qu'en parlant plus - Peur des Insectes</t>
        </is>
      </c>
      <c r="S16" s="53" t="inlineStr">
        <is>
          <t>Née à Kanto, arrivée à Arescité à neuf ans quand ses parents ont été engagés comme intermédiaires sur une filière d'approvisionnement en gemmes kantoniennes. Domestiques de maison bourgeoise, logés au-dessus des ateliers, jamais tout à fait chez eux nulle part. Elle parle trop. Elle pose des questions auxquelles personne ne veut répondre. Elle tient un carnet où elle note qui regarde qui, et elle est absolument convaincue que ça n'intéresse personne d'autre qu'elle.</t>
        </is>
      </c>
      <c r="T16" s="53" t="n"/>
    </row>
    <row r="17" ht="49.5" customHeight="1" s="42">
      <c r="A17" s="50" t="n"/>
      <c r="B17" s="50" t="n"/>
      <c r="C17" s="51" t="inlineStr">
        <is>
          <t>Frère Bihainebi (Denis)</t>
        </is>
      </c>
      <c r="D17" s="51" t="inlineStr">
        <is>
          <t>Denis</t>
        </is>
      </c>
      <c r="E17" s="49" t="n"/>
      <c r="F17" s="51" t="inlineStr">
        <is>
          <t>Troufion</t>
        </is>
      </c>
      <c r="G17" s="51" t="n"/>
      <c r="H17" s="51" t="inlineStr">
        <is>
          <t>Groupe 2</t>
        </is>
      </c>
      <c r="I17" s="51" t="n">
        <v>2</v>
      </c>
      <c r="J17" s="51">
        <f>COUNTIFS(Compétences!$A$2:$A$101,$A17)</f>
        <v/>
      </c>
      <c r="K17" s="51">
        <f>IF($H17=0,"",SUMPRODUCT((Compétences!$A$2:$A$101=$A17)*ABS(Compétences!$F$2:$F$101)))</f>
        <v/>
      </c>
      <c r="L17" s="51">
        <f>IF($D17&lt;&gt;"Troufion","n/a",2+2*$G17)</f>
        <v/>
      </c>
      <c r="M17" s="51">
        <f>IF($D17&lt;&gt;"Troufion","n/a",IF($H17=0,"n/c",$I17-$J17))</f>
        <v/>
      </c>
      <c r="N17" s="51">
        <f>COUNTIFS('Équipes Pokémon'!$A$2:$A$115,$A17)</f>
        <v/>
      </c>
      <c r="O17" s="51">
        <f>IF($D17&lt;&gt;"Troufion","n/a",MIN($G17+2,6))</f>
        <v/>
      </c>
      <c r="P17" s="51">
        <f>IF($D17&lt;&gt;"Troufion","n/a",IF($L17=0,"n/c",$L17-$M17))</f>
        <v/>
      </c>
      <c r="Q17" s="51" t="inlineStr">
        <is>
          <t>Marchand +3, Stratégie +1, Psychologue +1, Observation +1</t>
        </is>
      </c>
      <c r="R17" s="51" t="inlineStr">
        <is>
          <t>Boomer - Propriétaire bailleur</t>
        </is>
      </c>
      <c r="S17" s="51" t="inlineStr">
        <is>
          <t>A trouvé du travail en allant parler au chef des rangers, lui. Pas besoin de 4 mois de balades comme les jeunes fainéants actuels. De son temps, on avait une Baie Oran à Noël et on ne s'en plaignait pas. A pu s'acheter une petite maison de 150 m² à 35 ans avec son salaire de gardien, puis une deuxième à 40 ans. A transité depuis sur le marché locatif.</t>
        </is>
      </c>
      <c r="T17" s="51" t="n"/>
    </row>
    <row r="18" ht="49.5" customHeight="1" s="42">
      <c r="A18" s="50" t="n"/>
      <c r="B18" s="50" t="n"/>
      <c r="C18" s="51" t="inlineStr">
        <is>
          <t>Frère Dump</t>
        </is>
      </c>
      <c r="D18" s="49" t="n"/>
      <c r="E18" s="49" t="n"/>
      <c r="F18" s="51" t="inlineStr">
        <is>
          <t>Troufion</t>
        </is>
      </c>
      <c r="G18" s="51" t="n"/>
      <c r="H18" s="51" t="inlineStr">
        <is>
          <t>Groupe 2</t>
        </is>
      </c>
      <c r="I18" s="51" t="n">
        <v>2</v>
      </c>
      <c r="J18" s="51">
        <f>COUNTIFS(Compétences!$A$2:$A$101,$A18)</f>
        <v/>
      </c>
      <c r="K18" s="51">
        <f>IF($H18=0,"",SUMPRODUCT((Compétences!$A$2:$A$101=$A18)*ABS(Compétences!$F$2:$F$101)))</f>
        <v/>
      </c>
      <c r="L18" s="51">
        <f>IF($D18&lt;&gt;"Troufion","n/a",2+2*$G18)</f>
        <v/>
      </c>
      <c r="M18" s="51">
        <f>IF($D18&lt;&gt;"Troufion","n/a",IF($H18=0,"n/c",$I18-$J18))</f>
        <v/>
      </c>
      <c r="N18" s="51">
        <f>COUNTIFS('Équipes Pokémon'!$A$2:$A$115,$A18)</f>
        <v/>
      </c>
      <c r="O18" s="51">
        <f>IF($D18&lt;&gt;"Troufion","n/a",MIN($G18+2,6))</f>
        <v/>
      </c>
      <c r="P18" s="51">
        <f>IF($D18&lt;&gt;"Troufion","n/a",IF($L18=0,"n/c",$L18-$M18))</f>
        <v/>
      </c>
      <c r="Q18" s="51" t="inlineStr">
        <is>
          <t>Stratégie +2, Marchandage +3, Technologie +1</t>
        </is>
      </c>
      <c r="R18" s="51" t="n"/>
      <c r="S18" s="51" t="n"/>
      <c r="T18" s="51" t="n"/>
    </row>
    <row r="19" ht="49.5" customHeight="1" s="42">
      <c r="A19" s="50" t="n"/>
      <c r="B19" s="50" t="n"/>
      <c r="C19" s="51" t="inlineStr">
        <is>
          <t>Frère Pump</t>
        </is>
      </c>
      <c r="D19" s="49" t="n"/>
      <c r="E19" s="49" t="n"/>
      <c r="F19" s="51" t="inlineStr">
        <is>
          <t>Troufion</t>
        </is>
      </c>
      <c r="G19" s="51" t="n"/>
      <c r="H19" s="51" t="inlineStr">
        <is>
          <t>Groupe 2</t>
        </is>
      </c>
      <c r="I19" s="51" t="n">
        <v>2</v>
      </c>
      <c r="J19" s="51">
        <f>COUNTIFS(Compétences!$A$2:$A$101,$A19)</f>
        <v/>
      </c>
      <c r="K19" s="51">
        <f>IF($H19=0,"",SUMPRODUCT((Compétences!$A$2:$A$101=$A19)*ABS(Compétences!$F$2:$F$101)))</f>
        <v/>
      </c>
      <c r="L19" s="51">
        <f>IF($D19&lt;&gt;"Troufion","n/a",2+2*$G19)</f>
        <v/>
      </c>
      <c r="M19" s="51">
        <f>IF($D19&lt;&gt;"Troufion","n/a",IF($H19=0,"n/c",$I19-$J19))</f>
        <v/>
      </c>
      <c r="N19" s="51">
        <f>COUNTIFS('Équipes Pokémon'!$A$2:$A$115,$A19)</f>
        <v/>
      </c>
      <c r="O19" s="51">
        <f>IF($D19&lt;&gt;"Troufion","n/a",MIN($G19+2,6))</f>
        <v/>
      </c>
      <c r="P19" s="51">
        <f>IF($D19&lt;&gt;"Troufion","n/a",IF($L19=0,"n/c",$L19-$M19))</f>
        <v/>
      </c>
      <c r="Q19" s="51" t="inlineStr">
        <is>
          <t>Stratégie +2, Marchandage +1, Technologie +3</t>
        </is>
      </c>
      <c r="R19" s="51" t="n"/>
      <c r="S19" s="51" t="n"/>
      <c r="T19" s="51" t="n"/>
    </row>
    <row r="20" ht="49.5" customHeight="1" s="42">
      <c r="A20" s="47" t="n"/>
      <c r="B20" s="47" t="n"/>
      <c r="C20" s="48" t="inlineStr">
        <is>
          <t>Frère Tigre</t>
        </is>
      </c>
      <c r="D20" s="49" t="n"/>
      <c r="E20" s="49" t="n"/>
      <c r="F20" s="48" t="inlineStr">
        <is>
          <t>Troufion</t>
        </is>
      </c>
      <c r="G20" s="48" t="n"/>
      <c r="H20" s="48" t="inlineStr">
        <is>
          <t>Groupe 1 - Famille Raccourci</t>
        </is>
      </c>
      <c r="I20" s="48" t="n">
        <v>2</v>
      </c>
      <c r="J20" s="48">
        <f>COUNTIFS(Compétences!$A$2:$A$101,$A20)</f>
        <v/>
      </c>
      <c r="K20" s="48">
        <f>IF($H20=0,"",SUMPRODUCT((Compétences!$A$2:$A$101=$A20)*ABS(Compétences!$F$2:$F$101)))</f>
        <v/>
      </c>
      <c r="L20" s="48">
        <f>IF($D20&lt;&gt;"Troufion","n/a",2+2*$G20)</f>
        <v/>
      </c>
      <c r="M20" s="48">
        <f>IF($D20&lt;&gt;"Troufion","n/a",IF($H20=0,"n/c",$I20-$J20))</f>
        <v/>
      </c>
      <c r="N20" s="48">
        <f>COUNTIFS('Équipes Pokémon'!$A$2:$A$115,$A20)</f>
        <v/>
      </c>
      <c r="O20" s="48">
        <f>IF($D20&lt;&gt;"Troufion","n/a",MIN($G20+2,6))</f>
        <v/>
      </c>
      <c r="P20" s="48">
        <f>IF($D20&lt;&gt;"Troufion","n/a",IF($L20=0,"n/c",$L20-$M20))</f>
        <v/>
      </c>
      <c r="Q20" s="48" t="inlineStr">
        <is>
          <t>Infiltration +2, Athlétisme +2, Stratégie +1, Baston +1</t>
        </is>
      </c>
      <c r="R20" s="48" t="inlineStr">
        <is>
          <t>Identité secrète, ne retire jamais son masque de tigre</t>
        </is>
      </c>
      <c r="S20" s="48" t="inlineStr">
        <is>
          <t>Dresseur à l'identité secrète, membre de la famille Raccourci. On ne sait pas très bien de quel enfant il s'agit car il ne retire jamais son masque de tigre. Si ça se trouve c'est un parfait inconnu. Lui aussi aspire à obtenir 3 badges sous peu. Il possède un double des clés de Frère Passe.</t>
        </is>
      </c>
      <c r="T20" s="48" t="n"/>
    </row>
    <row r="21" ht="49.5" customHeight="1" s="42">
      <c r="A21" s="50" t="n"/>
      <c r="B21" s="50" t="n"/>
      <c r="C21" s="51" t="inlineStr">
        <is>
          <t>Frère Junior</t>
        </is>
      </c>
      <c r="D21" s="49" t="n"/>
      <c r="E21" s="49" t="n"/>
      <c r="F21" s="51" t="inlineStr">
        <is>
          <t>Troufion</t>
        </is>
      </c>
      <c r="G21" s="51" t="n"/>
      <c r="H21" s="51" t="inlineStr">
        <is>
          <t>Groupe 2</t>
        </is>
      </c>
      <c r="I21" s="51" t="n">
        <v>1</v>
      </c>
      <c r="J21" s="51">
        <f>COUNTIFS(Compétences!$A$2:$A$101,$A21)</f>
        <v/>
      </c>
      <c r="K21" s="51">
        <f>IF($H21=0,"",SUMPRODUCT((Compétences!$A$2:$A$101=$A21)*ABS(Compétences!$F$2:$F$101)))</f>
        <v/>
      </c>
      <c r="L21" s="51">
        <f>IF($D21&lt;&gt;"Troufion","n/a",2+2*$G21)</f>
        <v/>
      </c>
      <c r="M21" s="51">
        <f>IF($D21&lt;&gt;"Troufion","n/a",IF($H21=0,"n/c",$I21-$J21))</f>
        <v/>
      </c>
      <c r="N21" s="51">
        <f>COUNTIFS('Équipes Pokémon'!$A$2:$A$115,$A21)</f>
        <v/>
      </c>
      <c r="O21" s="51">
        <f>IF($D21&lt;&gt;"Troufion","n/a",MIN($G21+2,6))</f>
        <v/>
      </c>
      <c r="P21" s="51">
        <f>IF($D21&lt;&gt;"Troufion","n/a",IF($L21=0,"n/c",$L21-$M21))</f>
        <v/>
      </c>
      <c r="Q21" s="51" t="inlineStr">
        <is>
          <t>Athlétisme +1, Stratégie +1, Coach +1, Papilusion Social +1</t>
        </is>
      </c>
      <c r="R21" s="51" t="inlineStr">
        <is>
          <t>Orphelin - Allégeance arrachée sous la contrainte - Généraliste : un peu de tout, de quoi survivre mais pas de quoi vivre</t>
        </is>
      </c>
      <c r="S21" s="51" t="inlineStr">
        <is>
          <t>Orphelin capturé par les ADT (avec décès malencontreux de son protecteur) pour être sacrifié, qui a réussi à être épargné en suppliant ses geôliers d'avoir la vie sauve contre une allégeance envers le Pape Sombre. Envoyé sur la route des badges avec un petit Rattata en poche et pour seul ordre « Satisfais-nous ou bien nous nous satisferons de toi », il a réussi tant bien que mal à récupérer 1 badge et à agrandir son équipe.</t>
        </is>
      </c>
      <c r="T21" s="51" t="n"/>
    </row>
    <row r="22" ht="49.5" customHeight="1" s="42">
      <c r="A22" s="56" t="n"/>
      <c r="B22" s="56" t="n"/>
      <c r="C22" s="57" t="inlineStr">
        <is>
          <t>Frère Nasse</t>
        </is>
      </c>
      <c r="D22" s="57" t="inlineStr">
        <is>
          <t>Duflot, Séverin</t>
        </is>
      </c>
      <c r="E22" s="57" t="inlineStr">
        <is>
          <t>52 ans</t>
        </is>
      </c>
      <c r="F22" s="57" t="inlineStr">
        <is>
          <t>Troufion</t>
        </is>
      </c>
      <c r="G22" s="57" t="n"/>
      <c r="H22" s="57" t="inlineStr">
        <is>
          <t>Sans groupe (restants)</t>
        </is>
      </c>
      <c r="I22" s="57" t="n">
        <v>1</v>
      </c>
      <c r="J22" s="57">
        <f>COUNTIFS(Compétences!$A$2:$A$101,$A22)</f>
        <v/>
      </c>
      <c r="K22" s="57">
        <f>IF($H22=0,"",SUMPRODUCT((Compétences!$A$2:$A$101=$A22)*ABS(Compétences!$F$2:$F$101)))</f>
        <v/>
      </c>
      <c r="L22" s="57">
        <f>IF($D22&lt;&gt;"Troufion","n/a",2+2*$G22)</f>
        <v/>
      </c>
      <c r="M22" s="57">
        <f>IF($D22&lt;&gt;"Troufion","n/a",IF($H22=0,"n/c",$I22-$J22))</f>
        <v/>
      </c>
      <c r="N22" s="57">
        <f>COUNTIFS('Équipes Pokémon'!$A$2:$A$115,$A22)</f>
        <v/>
      </c>
      <c r="O22" s="57">
        <f>IF($D22&lt;&gt;"Troufion","n/a",MIN($G22+2,6))</f>
        <v/>
      </c>
      <c r="P22" s="57">
        <f>IF($D22&lt;&gt;"Troufion","n/a",IF($L22=0,"n/c",$L22-$M22))</f>
        <v/>
      </c>
      <c r="Q22" s="57" t="inlineStr">
        <is>
          <t>Survivaliste +1, Naturalisme +1, Construction +1, Marchand +1</t>
        </is>
      </c>
      <c r="R22" s="57" t="inlineStr">
        <is>
          <t>Bougon - À son compte depuis toujours et le rappelle volontiers - Radin - Aucune opinion politique, que des griefs administratifs - A l'impression d'être constamment perdu et est complètement perdu - Nul - Naze</t>
        </is>
      </c>
      <c r="S22" s="57" t="inlineStr">
        <is>
          <t>« Duflot Élagage, abattage, bois de chauffage. Devis gratuit. Déplacement offert dans un rayon de 30 km. » Quatrième génération dans le métier. Il a repris l'affaire de son père à vingt ans, n'a jamais eu de patron de sa vie, et le fait savoir. Il abat, il débroussaille, il fait du charbon en meule six mois par an, il livre. Le régime lui a retiré son droit de coupe sur les Bois Noirs : nouvelle réglementation forestière, dossier à monter, formation obligatoire, attestation à renouveler tous les trois ans. Il a continué sans. Puis les ADT sont venus le voir avec la seule offre qui l'intéressait : du travail régulier, payé en liquide, sans paperasse. Il n'a aucune opinion sur le culte et personne ne lui en demande. Ce n'est pas un dresseur : il n'a jamais fait un badge et n'a aucune envie d'en faire.</t>
        </is>
      </c>
      <c r="T22" s="57" t="n"/>
    </row>
    <row r="23" ht="49.5" customHeight="1" s="42">
      <c r="A23" s="47" t="n"/>
      <c r="B23" s="47" t="n"/>
      <c r="C23" s="48" t="inlineStr">
        <is>
          <t>Frère Passe</t>
        </is>
      </c>
      <c r="D23" s="49" t="n"/>
      <c r="E23" s="49" t="n"/>
      <c r="F23" s="48" t="inlineStr">
        <is>
          <t>Troufion</t>
        </is>
      </c>
      <c r="G23" s="48" t="n"/>
      <c r="H23" s="48" t="inlineStr">
        <is>
          <t>Groupe 1 - Famille Raccourci</t>
        </is>
      </c>
      <c r="I23" s="48" t="n">
        <v>1</v>
      </c>
      <c r="J23" s="48">
        <f>COUNTIFS(Compétences!$A$2:$A$101,$A23)</f>
        <v/>
      </c>
      <c r="K23" s="48">
        <f>IF($H23=0,"",SUMPRODUCT((Compétences!$A$2:$A$101=$A23)*ABS(Compétences!$F$2:$F$101)))</f>
        <v/>
      </c>
      <c r="L23" s="48">
        <f>IF($D23&lt;&gt;"Troufion","n/a",2+2*$G23)</f>
        <v/>
      </c>
      <c r="M23" s="48">
        <f>IF($D23&lt;&gt;"Troufion","n/a",IF($H23=0,"n/c",$I23-$J23))</f>
        <v/>
      </c>
      <c r="N23" s="48">
        <f>COUNTIFS('Équipes Pokémon'!$A$2:$A$115,$A23)</f>
        <v/>
      </c>
      <c r="O23" s="48">
        <f>IF($D23&lt;&gt;"Troufion","n/a",MIN($G23+2,6))</f>
        <v/>
      </c>
      <c r="P23" s="48">
        <f>IF($D23&lt;&gt;"Troufion","n/a",IF($L23=0,"n/c",$L23-$M23))</f>
        <v/>
      </c>
      <c r="Q23" s="48" t="inlineStr">
        <is>
          <t>Infiltration +2, Athlétisme +2</t>
        </is>
      </c>
      <c r="R23" s="48" t="n"/>
      <c r="S23" s="48" t="inlineStr">
        <is>
          <t>Dresseur petit mais vaillant, cadet de la famille Raccourci. Il affiche fièrement son objectif de réunir 3 badges sous peu, ainsi que des clés qui selon lui ouvriraient des salles cachées sur le fort.</t>
        </is>
      </c>
      <c r="T23" s="48" t="n"/>
    </row>
    <row r="24" ht="49.5" customHeight="1" s="42">
      <c r="A24" s="54" t="n"/>
      <c r="B24" s="54" t="n"/>
      <c r="C24" s="55" t="inlineStr">
        <is>
          <t>Sœur Ours</t>
        </is>
      </c>
      <c r="D24" s="49" t="n"/>
      <c r="E24" s="49" t="n"/>
      <c r="F24" s="55" t="inlineStr">
        <is>
          <t>Troufion</t>
        </is>
      </c>
      <c r="G24" s="55" t="n"/>
      <c r="H24" s="55" t="inlineStr">
        <is>
          <t>Groupe 3</t>
        </is>
      </c>
      <c r="I24" s="55" t="n">
        <v>1</v>
      </c>
      <c r="J24" s="55">
        <f>COUNTIFS(Compétences!$A$2:$A$101,$A24)</f>
        <v/>
      </c>
      <c r="K24" s="55">
        <f>IF($H24=0,"",SUMPRODUCT((Compétences!$A$2:$A$101=$A24)*ABS(Compétences!$F$2:$F$101)))</f>
        <v/>
      </c>
      <c r="L24" s="55">
        <f>IF($D24&lt;&gt;"Troufion","n/a",2+2*$G24)</f>
        <v/>
      </c>
      <c r="M24" s="55">
        <f>IF($D24&lt;&gt;"Troufion","n/a",IF($H24=0,"n/c",$I24-$J24))</f>
        <v/>
      </c>
      <c r="N24" s="55">
        <f>COUNTIFS('Équipes Pokémon'!$A$2:$A$115,$A24)</f>
        <v/>
      </c>
      <c r="O24" s="55">
        <f>IF($D24&lt;&gt;"Troufion","n/a",MIN($G24+2,6))</f>
        <v/>
      </c>
      <c r="P24" s="55">
        <f>IF($D24&lt;&gt;"Troufion","n/a",IF($L24=0,"n/c",$L24-$M24))</f>
        <v/>
      </c>
      <c r="Q24" s="55" t="inlineStr">
        <is>
          <t>Cuisine +1, Chuchoteur +2, Coach +1</t>
        </is>
      </c>
      <c r="R24" s="55" t="inlineStr">
        <is>
          <t>Recrue récente - Pleine de colère contre le système Sud-Kalosien</t>
        </is>
      </c>
      <c r="S24" s="55" t="inlineStr">
        <is>
          <t>Mère célibataire ayant perdu la garde de ses deux filles suite à une série de manigances par son ex-conjoint, qui a ensuite fui vers le nord. Recrue récente voulant faire ses preuves, pleine de colère contre le système Sud-Kalosien.</t>
        </is>
      </c>
      <c r="T24" s="55" t="n"/>
    </row>
    <row r="25" ht="49.5" customHeight="1" s="42">
      <c r="A25" s="54" t="n"/>
      <c r="B25" s="58" t="n"/>
      <c r="C25" s="59" t="inlineStr">
        <is>
          <t>Frère Dark</t>
        </is>
      </c>
      <c r="D25" s="55" t="inlineStr">
        <is>
          <t>— (identité civile non communiquée à l'Ordre)</t>
        </is>
      </c>
      <c r="E25" s="55" t="inlineStr">
        <is>
          <t>23 ans</t>
        </is>
      </c>
      <c r="F25" s="59" t="inlineStr">
        <is>
          <t>PJ — Évêque Sombre</t>
        </is>
      </c>
      <c r="G25" s="55" t="inlineStr">
        <is>
          <t>Dark-63</t>
        </is>
      </c>
      <c r="H25" s="55" t="inlineStr">
        <is>
          <t>Groupe 3</t>
        </is>
      </c>
      <c r="I25" s="55" t="n">
        <v>0</v>
      </c>
      <c r="J25" s="55">
        <f>COUNTIFS(Compétences!$A$2:$A$101,$A25)</f>
        <v/>
      </c>
      <c r="K25" s="55">
        <f>IF($H25=0,"",SUMPRODUCT((Compétences!$A$2:$A$101=$A25)*ABS(Compétences!$F$2:$F$101)))</f>
        <v/>
      </c>
      <c r="L25" s="55">
        <f>IF($D25&lt;&gt;"Troufion","n/a",2+2*$G25)</f>
        <v/>
      </c>
      <c r="M25" s="55">
        <f>IF($D25&lt;&gt;"Troufion","n/a",IF($H25=0,"n/c",$I25-$J25))</f>
        <v/>
      </c>
      <c r="N25" s="55">
        <f>COUNTIFS('Équipes Pokémon'!$A$2:$A$115,$A25)</f>
        <v/>
      </c>
      <c r="O25" s="55">
        <f>IF($D25&lt;&gt;"Troufion","n/a",MIN($G25+2,6))</f>
        <v/>
      </c>
      <c r="P25" s="55">
        <f>IF($D25&lt;&gt;"Troufion","n/a",IF($L25=0,"n/c",$L25-$M25))</f>
        <v/>
      </c>
      <c r="Q25" s="55" t="inlineStr">
        <is>
          <t>Coach +1, Stratège +3, Papillusion Social -2, Chuchoteur +1, Observateur +1, Athlétisme +2, Baston +4, Cuisine +4</t>
        </is>
      </c>
      <c r="R25" s="55" t="inlineStr">
        <is>
          <t>Foi aveugle - Insensibilité de façade - Outil sans âme - Obéissance totale à l'Ordre - Ne retire jamais son gant droit</t>
        </is>
      </c>
      <c r="S25" s="55" t="inlineStr">
        <is>
          <t>Évêque Sombre, rattaché au groupe d'attaque du Frère Pommier. Aucune carte de dresseur : l'Ordre n'en délivre pas. Tient une pizzeria à Corrésone, le « Four à Bois », qui sert de couverture et de point de contact. 1m88, 84 kg. Gant noir en permanence à la main droite, jamais retiré en public. Parle kalosien (natif), galarien (fonctionnel), notions de kalosien antique. Le reste de son dossier n'est pas public.</t>
        </is>
      </c>
      <c r="T25" s="55" t="n"/>
    </row>
    <row r="26" ht="49.5" customHeight="1" s="42">
      <c r="A26" s="52" t="n"/>
      <c r="B26" s="52" t="n"/>
      <c r="C26" s="59" t="inlineStr">
        <is>
          <t>Modulo</t>
        </is>
      </c>
      <c r="D26" s="53" t="inlineStr">
        <is>
          <t>Aimé(e) de Saint — Run (Aimée) / Ren (Aimé)</t>
        </is>
      </c>
      <c r="E26" s="49" t="n"/>
      <c r="F26" s="59" t="inlineStr">
        <is>
          <t>PJ — Évêque Sombre</t>
        </is>
      </c>
      <c r="G26" s="53" t="inlineStr">
        <is>
          <t>Avav</t>
        </is>
      </c>
      <c r="H26" s="53" t="inlineStr">
        <is>
          <t>Groupe 4</t>
        </is>
      </c>
      <c r="I26" s="53" t="n"/>
      <c r="J26" s="53">
        <f>COUNTIFS(Compétences!$A$2:$A$101,$A26)</f>
        <v/>
      </c>
      <c r="K26" s="53">
        <f>IF($H26=0,"",SUMPRODUCT((Compétences!$A$2:$A$101=$A26)*ABS(Compétences!$F$2:$F$101)))</f>
        <v/>
      </c>
      <c r="L26" s="53">
        <f>IF($D26&lt;&gt;"Troufion","n/a",2+2*$G26)</f>
        <v/>
      </c>
      <c r="M26" s="53">
        <f>IF($D26&lt;&gt;"Troufion","n/a",IF($H26=0,"n/c",$I26-$J26))</f>
        <v/>
      </c>
      <c r="N26" s="53">
        <f>COUNTIFS('Équipes Pokémon'!$A$2:$A$115,$A26)</f>
        <v/>
      </c>
      <c r="O26" s="53">
        <f>IF($D26&lt;&gt;"Troufion","n/a",MIN($G26+2,6))</f>
        <v/>
      </c>
      <c r="P26" s="53">
        <f>IF($D26&lt;&gt;"Troufion","n/a",IF($L26=0,"n/c",$L26-$M26))</f>
        <v/>
      </c>
      <c r="Q26" s="53" t="inlineStr">
        <is>
          <t>Coach +5, Baston +3, Stratégie +3, Observation +2, Papillusion Social +2, Secourisme +1, Psychologie -2</t>
        </is>
      </c>
      <c r="R26" s="53" t="inlineStr">
        <is>
          <t>Run : scène, idol, Johto-pop et Kanto-pop, chorégraphies. Ren : combat rapproché, technique, armes blanches. Surnommé Modulo chez les ADT pour son tic de langage. Personnage très narcissique — d'où le malus en Psychologie</t>
        </is>
      </c>
      <c r="S26" s="53" t="inlineStr">
        <is>
          <t>Personnage à deux voix, Run et Ren, qui se partagent l'équipe en deux trios. Le trio de scène de Run (Moka, Ondine, BlackPink) est monté pour la représentation ; le trio de Ren (Moufette, Le gluant, Domina) pour le combat. Toute l'équipe maîtrise Charme et Attraction : adversaire charmé, adversaire qui n'attaque plus. Deux moyens de déplacement : le Téléport de Moka (inutilisable au repaire ou en zone enténébrée, l'aura Ténèbres le bloque, et suppose d'avoir repéré les lieux) et Domina en monture (peu discrète hors repaire ou hors offensive).</t>
        </is>
      </c>
      <c r="T26" s="49" t="inlineStr">
        <is>
          <t>À DÉFINIR</t>
        </is>
      </c>
    </row>
    <row r="27" ht="49.5" customHeight="1" s="42">
      <c r="A27" s="54" t="n"/>
      <c r="B27" s="54" t="n"/>
      <c r="C27" s="59" t="inlineStr">
        <is>
          <t>Sœur Automne</t>
        </is>
      </c>
      <c r="D27" s="49" t="n"/>
      <c r="E27" s="49" t="n"/>
      <c r="F27" s="59" t="inlineStr">
        <is>
          <t>PJ — Évêque Sombre</t>
        </is>
      </c>
      <c r="G27" s="55" t="inlineStr">
        <is>
          <t>AkiMinoriko</t>
        </is>
      </c>
      <c r="H27" s="55" t="inlineStr">
        <is>
          <t>Groupe 3</t>
        </is>
      </c>
      <c r="I27" s="55" t="n"/>
      <c r="J27" s="55">
        <f>COUNTIFS(Compétences!$A$2:$A$101,$A27)</f>
        <v/>
      </c>
      <c r="K27" s="55">
        <f>IF($H27=0,"",SUMPRODUCT((Compétences!$A$2:$A$101=$A27)*ABS(Compétences!$F$2:$F$101)))</f>
        <v/>
      </c>
      <c r="L27" s="55">
        <f>IF($D27&lt;&gt;"Troufion","n/a",2+2*$G27)</f>
        <v/>
      </c>
      <c r="M27" s="55">
        <f>IF($D27&lt;&gt;"Troufion","n/a",IF($H27=0,"n/c",$I27-$J27))</f>
        <v/>
      </c>
      <c r="N27" s="55">
        <f>COUNTIFS('Équipes Pokémon'!$A$2:$A$115,$A27)</f>
        <v/>
      </c>
      <c r="O27" s="55">
        <f>IF($D27&lt;&gt;"Troufion","n/a",MIN($G27+2,6))</f>
        <v/>
      </c>
      <c r="P27" s="55">
        <f>IF($D27&lt;&gt;"Troufion","n/a",IF($L27=0,"n/c",$L27-$M27))</f>
        <v/>
      </c>
      <c r="Q27" s="55" t="inlineStr">
        <is>
          <t>Infiltration +5, Psychologue +3, Baston +3, Ésotérisme +2, Stratégie +2, Secourisme +1, Papillusion Social -2</t>
        </is>
      </c>
      <c r="R27" s="55" t="n"/>
      <c r="S27" s="55" t="inlineStr">
        <is>
          <t>A sauvé Frère Rapace lors du raid, de l'attaque Ultralaser d'Olivier.</t>
        </is>
      </c>
      <c r="T27" s="49" t="inlineStr">
        <is>
          <t>À DÉFINIR</t>
        </is>
      </c>
    </row>
    <row r="28" ht="15" customHeight="1" s="42">
      <c r="C28" s="41" t="inlineStr">
        <is>
          <t>Sœur Aquila</t>
        </is>
      </c>
      <c r="D28" s="41" t="inlineStr">
        <is>
          <t>Serreval, Octavia</t>
        </is>
      </c>
      <c r="E28" s="41" t="inlineStr">
        <is>
          <t>32 ans</t>
        </is>
      </c>
      <c r="F28" s="41" t="inlineStr">
        <is>
          <t>Troufion</t>
        </is>
      </c>
      <c r="H28" s="41" t="inlineStr">
        <is>
          <t>Groupe 5 - Escouade de raid</t>
        </is>
      </c>
      <c r="I28" s="41" t="n">
        <v>4</v>
      </c>
      <c r="Q28" s="41" t="inlineStr">
        <is>
          <t>Stratège +4, Coach +3, Observateur +1, Athlétisme +1, Chuchoteur +1</t>
        </is>
      </c>
      <c r="R28" s="41" t="inlineStr">
        <is>
          <t>Sèche - Économe de ses mots - Rancunière - Compétente et parfaitement consciente de l'être - Ne se justifie jamais - Défend son engagement dans l'Ordre comme une décision réfléchie - Méprise les dresseurs qui n'ont pas mérité leur licence - Lit des présages dans le vol des oiseaux et n'en démord pas</t>
        </is>
      </c>
      <c r="S28" s="41" t="inlineStr">
        <is>
          <t>Dresseuse à l'arène Vol de Roseville pendant huit ans, entrée à vingt ans, affectée à l'épreuve thématique : faire passer l'examen du permis de Vol. Un poste sans prestige, mais avec un tampon. Elle a commencé par arranger le dossier d'un candidat qui avait échoué trois fois, puis par en arranger d'autres contre rétribution, jusqu'à ce qu'un de ses titulaires décroche de sa monture au-dessus des gorges de l'Imon. Olivier a remonté la filière en quatre jours et l'a renvoyée lui-même, sans crier, ce qu'elle lui pardonne encore moins. Les ADT sont venus la voir six semaines plus tard : ils n'avaient pas besoin d'une dresseuse, ils avaient besoin de quelqu'un capable de certifier. Elle a refusé. Elle se souvient d'avoir hésité, puis d'avoir accepté, et elle situe encore ce choix comme le sien ; entre les deux, il manque une soirée dont elle ne parle jamais parce qu'elle ne sait pas qu'elle manque. Sœur Psykos n'a eu besoin de pousser qu'une fois. Elle recrute désormais ses oiseaux sur les charniers et les décharges plutôt qu'en élevage, au motif qu'un charognard nourri à la main ne sait plus chercher. Elle a gardé le dossier du candidat qui est mort, et elle le relit.</t>
        </is>
      </c>
    </row>
    <row r="29" ht="15" customHeight="1" s="42">
      <c r="C29" s="41" t="inlineStr">
        <is>
          <t>Frère Heaume</t>
        </is>
      </c>
      <c r="D29" s="41" t="inlineStr">
        <is>
          <t>Hycard, Thibault</t>
        </is>
      </c>
      <c r="E29" s="41" t="inlineStr">
        <is>
          <t>38 ans</t>
        </is>
      </c>
      <c r="F29" s="41" t="inlineStr">
        <is>
          <t>Troufion</t>
        </is>
      </c>
      <c r="H29" s="41" t="inlineStr">
        <is>
          <t>Groupe 5 - Escouade de raid</t>
        </is>
      </c>
      <c r="I29" s="41" t="n">
        <v>3</v>
      </c>
      <c r="Q29" s="41" t="inlineStr">
        <is>
          <t>Baston +3, Stratégie +2, Théologie +2, Technologie +1</t>
        </is>
      </c>
      <c r="R29" s="41" t="inlineStr">
        <is>
          <t>Méticuleux - Lent à décider et impossible à presser - Fier de son travail jusqu'à la susceptibilité - Condescendant envers les amateurs - Ne supporte pas qu'on touche à ses pièces sans gants - Indifférent aux causes, y compris celles de ses clients - Croyant sincère, ce qui est rare à son palier - Entêté</t>
        </is>
      </c>
      <c r="S29" s="41" t="inlineStr">
        <is>
          <t>Armurier de reconstitution historique, atelier en bas de Corrésone, spécialisé dans les pièces de tournoi du XIVe : heaumes à bassinet, gantelets articulés, épées de parade. Il fournissait les fêtes médiévales de la région, deux musées, et sans jamais y voir de politique, une bonne partie des costumes des QuillAnons. Ils payaient bien et commandaient des pièces intéressantes, cela lui suffisait. La réglementation sur les reproductions d'armes blanches, votée pour serrer la vis à ces mêmes Quills, l'a rattrapé sans le viser : il n'a pas voulu s'y plier, et la commande publique s'est arrêtée d'un coup. Les ADT ne lui ont pas parlé de l'Ombre en premier : ils lui ont montré l'armurerie du sanctuaire, des pièces qu'aucun collectionneur de la région ne verra jamais, et lui ont demandé qui s'en occupait. Personne ne s'en occupait. Il entretient depuis les lames rituelles, affûte le couteau sacrificiel avant chaque office et considère que c'est un honneur. Il a fini par croire pour de bon, quelque part entre la troisième et la quatrième année, à un âge où l'on ne s'attend plus à le voir arriver.</t>
        </is>
      </c>
    </row>
    <row r="30">
      <c r="C30" s="41" t="inlineStr">
        <is>
          <t>Frère Piqueux</t>
        </is>
      </c>
      <c r="D30" s="41" t="inlineStr">
        <is>
          <t>Wicart, Jean</t>
        </is>
      </c>
      <c r="E30" s="41" t="inlineStr">
        <is>
          <t>45 ans</t>
        </is>
      </c>
      <c r="F30" s="41" t="inlineStr">
        <is>
          <t>Troufion</t>
        </is>
      </c>
      <c r="H30" s="41" t="inlineStr">
        <is>
          <t>Groupe 5 - Escouade de raid</t>
        </is>
      </c>
      <c r="I30" s="41" t="n">
        <v>2</v>
      </c>
      <c r="Q30" s="41" t="inlineStr">
        <is>
          <t>Observation +3, Chuchoteur +2, Naturalisme +1</t>
        </is>
      </c>
      <c r="R30" s="41" t="inlineStr">
        <is>
          <t>Taiseux - Tiré à quatre épingles en toutes circonstances - Parle aux Pokémons et très peu aux gens - Patient au point d'attendre des heures sans bouger - N'élève jamais la voix - Doux avec les Pokémons et indifférent au reste - Ne comprend pas la moitié de ce que l'Ordre raconte et ne cherche pas à comprendre</t>
        </is>
      </c>
      <c r="S30" s="41" t="inlineStr">
        <is>
          <t>Piqueux d'équipage sur un grand domaine en lisière des Bois Noirs, en livrée, au service d'une famille qui recevait : il nourrissait la meute, la soignait, la menait, et la connaissait chien par chien. Le domaine a été vendu, l'équipage dissous, et on lui a proposé de faire piquer les Pokémons chiens. Il est parti avec. Quatorze mois de braconnage et de petits travaux pour les nourrir, en dormant dans une cabane de bûcheron, avant que les ADT ne lui proposent des galeries à surveiller et de la viande tous les jours. Il n'a pas demandé pour quoi faire. Il a gardé de la maison l'habitude d'être impeccable et de ne jamais hausser le ton, ce qui le rend impossible à situer : les frères le prennent pour un tueur, alors qu'il est surtout appliqué. Il assiste aux offices parce qu'on le lui demande, s'assied au fond, et repart dès la fin. Ce n'est pas un dresseur au sens où l'Ordre l'entend : il ne donne pas d'ordres, il lit sa meute et la laisse faire. C'est précisément pour cette raison qu'il voit des choses que personne d'autre ne voit.</t>
        </is>
      </c>
    </row>
    <row r="31" ht="15" customHeight="1" s="42">
      <c r="C31" s="41" t="inlineStr">
        <is>
          <t>Frère Miasme</t>
        </is>
      </c>
      <c r="D31" s="41" t="inlineStr">
        <is>
          <t>Kahananui, Maleko</t>
        </is>
      </c>
      <c r="E31" s="41" t="inlineStr">
        <is>
          <t>44 ans</t>
        </is>
      </c>
      <c r="F31" s="41" t="inlineStr">
        <is>
          <t>Troufion</t>
        </is>
      </c>
      <c r="H31" s="41" t="inlineStr">
        <is>
          <t>Groupe 5 - Escouade de raid</t>
        </is>
      </c>
      <c r="I31" s="41" t="n">
        <v>2</v>
      </c>
      <c r="Q31" s="41" t="inlineStr">
        <is>
          <t>Infiltration +2, Technologie +2, Observation +1, Psychologue +1</t>
        </is>
      </c>
      <c r="R31" s="41" t="inlineStr">
        <is>
          <t>Placide - Affable et jamais pressé - Insensible aux odeurs et aux dégoûts - Intarissable sur son métier et muet sur tout le reste - Ne s'attache à aucun de ses Pokémon et le dit sans gêne - Ponctuel - Traite tout le monde comme un usager, Évêques compris - Parle le kalosien sans le moindre accent et se l'entend faire remarquer quand même</t>
        </is>
      </c>
      <c r="S31" s="41" t="inlineStr">
        <is>
          <t>Né à Alola, arrivé à Corrésone à vingt-cinq ans et resté faute de mieux : dans une région où l'on croise peu d'étrangers, on ne lui a jamais proposé autre chose que le travail dont personne ne voulait. Dix-neuf ans de collecteurs et de galeries de visite au service d'assainissement. Il connaît le sous-sol de la ville mieux que la plupart des frères et sœurs, et pour une raison simple : les plans du service s'arrêtent au niveau -2, alors que le réseau continue. Il est tombé sur des portes scellées que personne n'avait cartographiées, a entendu du chant derrière, et a mis deux ans à trouver qui chantait. Ce n'est pas l'Ordre qui l'a recruté, c'est lui qui a fini par frapper : ils ont été les premiers à Corrésone à vouloir quelque chose de lui. Il ramasse ce qui vit dans les collecteurs et s'en sert comme d'un consommable, sans surnom et sans état d'âme. Il ne se bat pas pour gagner : il se bat pour que l'adversaire arrive usé sur le suivant, ce qu'il explique volontiers à qui ne lui a rien demandé. Affable, poli, jamais pressé : c'est ce qui met le plus mal à l'aise.</t>
        </is>
      </c>
    </row>
    <row r="32" ht="15" customHeight="1" s="42">
      <c r="C32" s="60" t="n"/>
      <c r="D32" s="60" t="n"/>
      <c r="E32" s="60" t="n"/>
      <c r="F32" s="60" t="n"/>
      <c r="G32" s="60" t="n"/>
      <c r="H32" s="60" t="n"/>
      <c r="I32" s="60" t="n"/>
      <c r="J32" s="60" t="n"/>
      <c r="K32" s="60" t="n"/>
      <c r="L32" s="60" t="n"/>
      <c r="M32" s="60" t="n"/>
      <c r="N32" s="60" t="n"/>
      <c r="O32" s="60" t="n"/>
      <c r="P32" s="60" t="n"/>
      <c r="Q32" s="60" t="n"/>
      <c r="R32" s="60" t="n"/>
      <c r="S32" s="60" t="n"/>
    </row>
    <row r="33" ht="15" customHeight="1" s="42">
      <c r="C33" s="60" t="inlineStr">
        <is>
          <t>TOTAL</t>
        </is>
      </c>
      <c r="D33" s="60" t="n"/>
      <c r="E33" s="60" t="n"/>
      <c r="F33" s="60" t="n"/>
      <c r="G33" s="60" t="n"/>
      <c r="H33" s="60" t="n"/>
      <c r="I33" s="60">
        <f>SUM(G5:G31)</f>
        <v/>
      </c>
      <c r="J33" s="60" t="n"/>
      <c r="K33" s="60" t="n"/>
      <c r="L33" s="60" t="n"/>
      <c r="M33" s="60" t="n"/>
      <c r="N33" s="60">
        <f>SUM(L5:L27)</f>
        <v/>
      </c>
      <c r="O33" s="60" t="n"/>
      <c r="P33" s="60" t="n"/>
      <c r="Q33" s="60">
        <f>COUNTIF($D$5:$D$27,"Troufion")&amp;" troufions + "&amp;COUNTA(A5:A27)-COUNTIF($D$5:$D$27,"Troufion")&amp;" PJ"</f>
        <v/>
      </c>
      <c r="R33" s="60" t="n"/>
      <c r="S33" s="60" t="n"/>
    </row>
    <row r="34" ht="15" customHeight="1" s="42"/>
    <row r="35" ht="15" customHeight="1" s="42">
      <c r="C35" s="61" t="inlineStr">
        <is>
          <t>Légende</t>
        </is>
      </c>
    </row>
    <row r="36" ht="15" customHeight="1" s="42">
      <c r="C36" s="62" t="inlineStr">
        <is>
          <t>Groupe 1 - Famille Raccourci</t>
        </is>
      </c>
    </row>
    <row r="37" ht="15" customHeight="1" s="42">
      <c r="C37" s="63" t="inlineStr">
        <is>
          <t>Groupe 2</t>
        </is>
      </c>
    </row>
    <row r="38" ht="15" customHeight="1" s="42">
      <c r="C38" s="64" t="inlineStr">
        <is>
          <t>Groupe 3</t>
        </is>
      </c>
    </row>
    <row r="39">
      <c r="C39" s="65" t="inlineStr">
        <is>
          <t>Groupe 4</t>
        </is>
      </c>
    </row>
    <row r="40">
      <c r="C40" s="66" t="inlineStr">
        <is>
          <t>Sans groupe (restants)</t>
        </is>
      </c>
    </row>
    <row r="41">
      <c r="C41" s="67" t="inlineStr">
        <is>
          <t>Personnage joueur (Évêque Sombre)</t>
        </is>
      </c>
    </row>
    <row r="42">
      <c r="C42" s="68" t="inlineStr">
        <is>
          <t>Donnée jamais communiquée</t>
        </is>
      </c>
    </row>
  </sheetData>
  <autoFilter ref="A4:T38"/>
  <conditionalFormatting sqref="K5:K27">
    <cfRule type="cellIs" rank="0" priority="2" equalAverage="0" operator="lessThan" aboveAverage="0" dxfId="10" text="" percent="0" bottom="0">
      <formula>0</formula>
    </cfRule>
  </conditionalFormatting>
  <conditionalFormatting sqref="N5:N27">
    <cfRule type="cellIs" rank="0" priority="3" equalAverage="0" operator="lessThan" aboveAverage="0" dxfId="10"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F10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2" customWidth="1" style="41" min="1" max="1"/>
    <col width="30" customWidth="1" style="41" min="2" max="2"/>
    <col width="9" customWidth="1" style="41" min="3" max="3"/>
    <col width="30" customWidth="1" style="41" min="4" max="4"/>
    <col width="22" customWidth="1" style="41" min="5" max="5"/>
    <col width="9" customWidth="1" style="41" min="6" max="6"/>
  </cols>
  <sheetData>
    <row r="1" ht="30" customHeight="1" s="42">
      <c r="A1" s="69" t="inlineStr">
        <is>
          <t>Personnage</t>
        </is>
      </c>
      <c r="B1" s="46" t="inlineStr">
        <is>
          <t>Groupe</t>
        </is>
      </c>
      <c r="C1" s="46" t="inlineStr">
        <is>
          <t>Badges</t>
        </is>
      </c>
      <c r="D1" s="46" t="inlineStr">
        <is>
          <t>Compétence (telle que postée)</t>
        </is>
      </c>
      <c r="E1" s="46" t="inlineStr">
        <is>
          <t>Compétence officielle</t>
        </is>
      </c>
      <c r="F1" s="46" t="inlineStr">
        <is>
          <t>Valeur</t>
        </is>
      </c>
    </row>
    <row r="2" ht="15" customHeight="1" s="42">
      <c r="A2" s="70" t="inlineStr">
        <is>
          <t>Frère Boule</t>
        </is>
      </c>
      <c r="B2" s="48" t="inlineStr">
        <is>
          <t>Groupe 1 - Famille Raccourci</t>
        </is>
      </c>
      <c r="C2" s="70" t="n">
        <v>5</v>
      </c>
      <c r="D2" s="70" t="inlineStr">
        <is>
          <t>Baston</t>
        </is>
      </c>
      <c r="E2" s="70" t="inlineStr">
        <is>
          <t>Baston</t>
        </is>
      </c>
      <c r="F2" s="70" t="n">
        <v>4</v>
      </c>
    </row>
    <row r="3" ht="15" customHeight="1" s="42">
      <c r="A3" s="70" t="inlineStr">
        <is>
          <t>Frère Boule</t>
        </is>
      </c>
      <c r="B3" s="48" t="inlineStr">
        <is>
          <t>Groupe 1 - Famille Raccourci</t>
        </is>
      </c>
      <c r="C3" s="70" t="n">
        <v>5</v>
      </c>
      <c r="D3" s="70" t="inlineStr">
        <is>
          <t>Stratégie</t>
        </is>
      </c>
      <c r="E3" s="70" t="inlineStr">
        <is>
          <t>Stratège</t>
        </is>
      </c>
      <c r="F3" s="70" t="n">
        <v>3</v>
      </c>
    </row>
    <row r="4" ht="15" customHeight="1" s="42">
      <c r="A4" s="70" t="inlineStr">
        <is>
          <t>Frère Boule</t>
        </is>
      </c>
      <c r="B4" s="48" t="inlineStr">
        <is>
          <t>Groupe 1 - Famille Raccourci</t>
        </is>
      </c>
      <c r="C4" s="70" t="n">
        <v>5</v>
      </c>
      <c r="D4" s="70" t="inlineStr">
        <is>
          <t>Athlétisme</t>
        </is>
      </c>
      <c r="E4" s="70" t="inlineStr">
        <is>
          <t>Athlétisme</t>
        </is>
      </c>
      <c r="F4" s="70" t="n">
        <v>2</v>
      </c>
    </row>
    <row r="5" ht="15" customHeight="1" s="42">
      <c r="A5" s="70" t="inlineStr">
        <is>
          <t>Frère Boule</t>
        </is>
      </c>
      <c r="B5" s="48" t="inlineStr">
        <is>
          <t>Groupe 1 - Famille Raccourci</t>
        </is>
      </c>
      <c r="C5" s="70" t="n">
        <v>5</v>
      </c>
      <c r="D5" s="70" t="inlineStr">
        <is>
          <t>Coach</t>
        </is>
      </c>
      <c r="E5" s="70" t="inlineStr">
        <is>
          <t>Coach</t>
        </is>
      </c>
      <c r="F5" s="70" t="n">
        <v>2</v>
      </c>
    </row>
    <row r="6" ht="15" customHeight="1" s="42">
      <c r="A6" s="70" t="inlineStr">
        <is>
          <t>Frère Boule</t>
        </is>
      </c>
      <c r="B6" s="48" t="inlineStr">
        <is>
          <t>Groupe 1 - Famille Raccourci</t>
        </is>
      </c>
      <c r="C6" s="70" t="n">
        <v>5</v>
      </c>
      <c r="D6" s="70" t="inlineStr">
        <is>
          <t>Infiltration</t>
        </is>
      </c>
      <c r="E6" s="70" t="inlineStr">
        <is>
          <t>Infiltrateur</t>
        </is>
      </c>
      <c r="F6" s="70" t="n">
        <v>1</v>
      </c>
    </row>
    <row r="7" ht="15" customHeight="1" s="42">
      <c r="A7" s="60" t="inlineStr">
        <is>
          <t>Frère Jack</t>
        </is>
      </c>
      <c r="B7" s="57" t="inlineStr">
        <is>
          <t>Sans groupe (restants)</t>
        </is>
      </c>
      <c r="C7" s="60" t="n">
        <v>5</v>
      </c>
      <c r="D7" s="60" t="inlineStr">
        <is>
          <t>Ésotérisme</t>
        </is>
      </c>
      <c r="E7" s="60" t="inlineStr">
        <is>
          <t>Ésotérisme</t>
        </is>
      </c>
      <c r="F7" s="60" t="n">
        <v>5</v>
      </c>
    </row>
    <row r="8" ht="15" customHeight="1" s="42">
      <c r="A8" s="60" t="inlineStr">
        <is>
          <t>Frère Jack</t>
        </is>
      </c>
      <c r="B8" s="57" t="inlineStr">
        <is>
          <t>Sans groupe (restants)</t>
        </is>
      </c>
      <c r="C8" s="60" t="n">
        <v>5</v>
      </c>
      <c r="D8" s="60" t="inlineStr">
        <is>
          <t>Stratégie</t>
        </is>
      </c>
      <c r="E8" s="71" t="inlineStr">
        <is>
          <t>Stratège</t>
        </is>
      </c>
      <c r="F8" s="60" t="n">
        <v>4</v>
      </c>
    </row>
    <row r="9" ht="15" customHeight="1" s="42">
      <c r="A9" s="60" t="inlineStr">
        <is>
          <t>Frère Jack</t>
        </is>
      </c>
      <c r="B9" s="57" t="inlineStr">
        <is>
          <t>Sans groupe (restants)</t>
        </is>
      </c>
      <c r="C9" s="60" t="n">
        <v>5</v>
      </c>
      <c r="D9" s="60" t="inlineStr">
        <is>
          <t>Secourisme</t>
        </is>
      </c>
      <c r="E9" s="60" t="inlineStr">
        <is>
          <t>Secourisme</t>
        </is>
      </c>
      <c r="F9" s="60" t="n">
        <v>2</v>
      </c>
    </row>
    <row r="10" ht="15" customHeight="1" s="42">
      <c r="A10" s="60" t="inlineStr">
        <is>
          <t>Frère Jack</t>
        </is>
      </c>
      <c r="B10" s="57" t="inlineStr">
        <is>
          <t>Sans groupe (restants)</t>
        </is>
      </c>
      <c r="C10" s="60" t="n">
        <v>5</v>
      </c>
      <c r="D10" s="60" t="inlineStr">
        <is>
          <t>Théologie</t>
        </is>
      </c>
      <c r="E10" s="60" t="inlineStr">
        <is>
          <t>Théologie</t>
        </is>
      </c>
      <c r="F10" s="60" t="n">
        <v>1</v>
      </c>
    </row>
    <row r="11" ht="15" customHeight="1" s="42">
      <c r="A11" s="70" t="inlineStr">
        <is>
          <t>Frère Pierrot</t>
        </is>
      </c>
      <c r="B11" s="57" t="inlineStr">
        <is>
          <t>Sans groupe (restants)</t>
        </is>
      </c>
      <c r="C11" s="70" t="n">
        <v>5</v>
      </c>
      <c r="D11" s="70" t="inlineStr">
        <is>
          <t>Baston</t>
        </is>
      </c>
      <c r="E11" s="70" t="inlineStr">
        <is>
          <t>Baston</t>
        </is>
      </c>
      <c r="F11" s="70" t="n">
        <v>4</v>
      </c>
    </row>
    <row r="12" ht="15" customHeight="1" s="42">
      <c r="A12" s="70" t="inlineStr">
        <is>
          <t>Frère Pierrot</t>
        </is>
      </c>
      <c r="B12" s="57" t="inlineStr">
        <is>
          <t>Sans groupe (restants)</t>
        </is>
      </c>
      <c r="C12" s="70" t="n">
        <v>5</v>
      </c>
      <c r="D12" s="70" t="inlineStr">
        <is>
          <t>Infiltrateur</t>
        </is>
      </c>
      <c r="E12" s="70" t="inlineStr">
        <is>
          <t>Infiltrateur</t>
        </is>
      </c>
      <c r="F12" s="70" t="n">
        <v>3</v>
      </c>
    </row>
    <row r="13" ht="15" customHeight="1" s="42">
      <c r="A13" s="70" t="inlineStr">
        <is>
          <t>Frère Pierrot</t>
        </is>
      </c>
      <c r="B13" s="57" t="inlineStr">
        <is>
          <t>Sans groupe (restants)</t>
        </is>
      </c>
      <c r="C13" s="70" t="n">
        <v>5</v>
      </c>
      <c r="D13" s="70" t="inlineStr">
        <is>
          <t>Psychologue</t>
        </is>
      </c>
      <c r="E13" s="70" t="inlineStr">
        <is>
          <t>Psychologue</t>
        </is>
      </c>
      <c r="F13" s="70" t="n">
        <v>2</v>
      </c>
    </row>
    <row r="14" ht="15" customHeight="1" s="42">
      <c r="A14" s="70" t="inlineStr">
        <is>
          <t>Frère Pierrot</t>
        </is>
      </c>
      <c r="B14" s="57" t="inlineStr">
        <is>
          <t>Sans groupe (restants)</t>
        </is>
      </c>
      <c r="C14" s="70" t="n">
        <v>5</v>
      </c>
      <c r="D14" s="70" t="inlineStr">
        <is>
          <t>Athlétisme</t>
        </is>
      </c>
      <c r="E14" s="70" t="inlineStr">
        <is>
          <t>Athlétisme</t>
        </is>
      </c>
      <c r="F14" s="70" t="n">
        <v>2</v>
      </c>
    </row>
    <row r="15" ht="15" customHeight="1" s="42">
      <c r="A15" s="70" t="inlineStr">
        <is>
          <t>Frère Pierrot</t>
        </is>
      </c>
      <c r="B15" s="57" t="inlineStr">
        <is>
          <t>Sans groupe (restants)</t>
        </is>
      </c>
      <c r="C15" s="70" t="n">
        <v>5</v>
      </c>
      <c r="D15" s="70" t="inlineStr">
        <is>
          <t>Observateur</t>
        </is>
      </c>
      <c r="E15" s="70" t="inlineStr">
        <is>
          <t>Observateur</t>
        </is>
      </c>
      <c r="F15" s="70" t="n">
        <v>1</v>
      </c>
    </row>
    <row r="16" ht="15" customHeight="1" s="42">
      <c r="A16" s="60" t="inlineStr">
        <is>
          <t>Frère Rapace</t>
        </is>
      </c>
      <c r="B16" s="55" t="inlineStr">
        <is>
          <t>Groupe 3</t>
        </is>
      </c>
      <c r="C16" s="60" t="n">
        <v>5</v>
      </c>
      <c r="D16" s="60" t="inlineStr">
        <is>
          <t>Stratégie</t>
        </is>
      </c>
      <c r="E16" s="71" t="inlineStr">
        <is>
          <t>Stratège</t>
        </is>
      </c>
      <c r="F16" s="60" t="n">
        <v>3</v>
      </c>
    </row>
    <row r="17" ht="15" customHeight="1" s="42">
      <c r="A17" s="60" t="inlineStr">
        <is>
          <t>Frère Rapace</t>
        </is>
      </c>
      <c r="B17" s="55" t="inlineStr">
        <is>
          <t>Groupe 3</t>
        </is>
      </c>
      <c r="C17" s="60" t="n">
        <v>5</v>
      </c>
      <c r="D17" s="60" t="inlineStr">
        <is>
          <t>Marchandage</t>
        </is>
      </c>
      <c r="E17" s="71" t="inlineStr">
        <is>
          <t>Marchand</t>
        </is>
      </c>
      <c r="F17" s="60" t="n">
        <v>5</v>
      </c>
    </row>
    <row r="18" ht="15" customHeight="1" s="42">
      <c r="A18" s="60" t="inlineStr">
        <is>
          <t>Frère Rapace</t>
        </is>
      </c>
      <c r="B18" s="55" t="inlineStr">
        <is>
          <t>Groupe 3</t>
        </is>
      </c>
      <c r="C18" s="60" t="n">
        <v>5</v>
      </c>
      <c r="D18" s="60" t="inlineStr">
        <is>
          <t>Psychologie</t>
        </is>
      </c>
      <c r="E18" s="71" t="inlineStr">
        <is>
          <t>Psychologue</t>
        </is>
      </c>
      <c r="F18" s="60" t="n">
        <v>2</v>
      </c>
    </row>
    <row r="19" ht="15" customHeight="1" s="42">
      <c r="A19" s="60" t="inlineStr">
        <is>
          <t>Frère Rapace</t>
        </is>
      </c>
      <c r="B19" s="55" t="inlineStr">
        <is>
          <t>Groupe 3</t>
        </is>
      </c>
      <c r="C19" s="60" t="n">
        <v>5</v>
      </c>
      <c r="D19" s="60" t="inlineStr">
        <is>
          <t>Observateur</t>
        </is>
      </c>
      <c r="E19" s="60" t="inlineStr">
        <is>
          <t>Observateur</t>
        </is>
      </c>
      <c r="F19" s="60" t="n">
        <v>2</v>
      </c>
    </row>
    <row r="20" ht="15" customHeight="1" s="42">
      <c r="A20" s="70" t="inlineStr">
        <is>
          <t>Frère Dictateur</t>
        </is>
      </c>
      <c r="B20" s="53" t="inlineStr">
        <is>
          <t>Groupe 4</t>
        </is>
      </c>
      <c r="C20" s="70" t="n">
        <v>4</v>
      </c>
      <c r="D20" s="70" t="inlineStr">
        <is>
          <t>Stratège</t>
        </is>
      </c>
      <c r="E20" s="70" t="inlineStr">
        <is>
          <t>Stratège</t>
        </is>
      </c>
      <c r="F20" s="70" t="n">
        <v>4</v>
      </c>
    </row>
    <row r="21" ht="15" customHeight="1" s="42">
      <c r="A21" s="70" t="inlineStr">
        <is>
          <t>Frère Dictateur</t>
        </is>
      </c>
      <c r="B21" s="53" t="inlineStr">
        <is>
          <t>Groupe 4</t>
        </is>
      </c>
      <c r="C21" s="70" t="n">
        <v>4</v>
      </c>
      <c r="D21" s="70" t="inlineStr">
        <is>
          <t>Coach</t>
        </is>
      </c>
      <c r="E21" s="70" t="inlineStr">
        <is>
          <t>Coach</t>
        </is>
      </c>
      <c r="F21" s="70" t="n">
        <v>3</v>
      </c>
    </row>
    <row r="22" ht="15" customHeight="1" s="42">
      <c r="A22" s="70" t="inlineStr">
        <is>
          <t>Frère Dictateur</t>
        </is>
      </c>
      <c r="B22" s="53" t="inlineStr">
        <is>
          <t>Groupe 4</t>
        </is>
      </c>
      <c r="C22" s="70" t="n">
        <v>4</v>
      </c>
      <c r="D22" s="70" t="inlineStr">
        <is>
          <t>Social</t>
        </is>
      </c>
      <c r="E22" s="70" t="inlineStr">
        <is>
          <t>Social</t>
        </is>
      </c>
      <c r="F22" s="70" t="n">
        <v>2</v>
      </c>
    </row>
    <row r="23" ht="15" customHeight="1" s="42">
      <c r="A23" s="70" t="inlineStr">
        <is>
          <t>Frère Dictateur</t>
        </is>
      </c>
      <c r="B23" s="53" t="inlineStr">
        <is>
          <t>Groupe 4</t>
        </is>
      </c>
      <c r="C23" s="70" t="n">
        <v>4</v>
      </c>
      <c r="D23" s="70" t="inlineStr">
        <is>
          <t>Athlétisme</t>
        </is>
      </c>
      <c r="E23" s="70" t="inlineStr">
        <is>
          <t>Athlétisme</t>
        </is>
      </c>
      <c r="F23" s="70" t="n">
        <v>1</v>
      </c>
    </row>
    <row r="24" ht="15" customHeight="1" s="42">
      <c r="A24" s="60" t="inlineStr">
        <is>
          <t>Frère Fouras</t>
        </is>
      </c>
      <c r="B24" s="48" t="inlineStr">
        <is>
          <t>Groupe 1 - Famille Raccourci</t>
        </is>
      </c>
      <c r="C24" s="60" t="n">
        <v>4</v>
      </c>
      <c r="D24" s="60" t="inlineStr">
        <is>
          <t>Psychologie</t>
        </is>
      </c>
      <c r="E24" s="71" t="inlineStr">
        <is>
          <t>Psychologue</t>
        </is>
      </c>
      <c r="F24" s="60" t="n">
        <v>4</v>
      </c>
    </row>
    <row r="25" ht="15" customHeight="1" s="42">
      <c r="A25" s="60" t="inlineStr">
        <is>
          <t>Frère Fouras</t>
        </is>
      </c>
      <c r="B25" s="48" t="inlineStr">
        <is>
          <t>Groupe 1 - Famille Raccourci</t>
        </is>
      </c>
      <c r="C25" s="60" t="n">
        <v>4</v>
      </c>
      <c r="D25" s="60" t="inlineStr">
        <is>
          <t>Stratégie</t>
        </is>
      </c>
      <c r="E25" s="71" t="inlineStr">
        <is>
          <t>Stratège</t>
        </is>
      </c>
      <c r="F25" s="60" t="n">
        <v>3</v>
      </c>
    </row>
    <row r="26" ht="15" customHeight="1" s="42">
      <c r="A26" s="60" t="inlineStr">
        <is>
          <t>Frère Fouras</t>
        </is>
      </c>
      <c r="B26" s="48" t="inlineStr">
        <is>
          <t>Groupe 1 - Famille Raccourci</t>
        </is>
      </c>
      <c r="C26" s="60" t="n">
        <v>4</v>
      </c>
      <c r="D26" s="60" t="inlineStr">
        <is>
          <t>Naturalisme</t>
        </is>
      </c>
      <c r="E26" s="60" t="inlineStr">
        <is>
          <t>Naturalisme</t>
        </is>
      </c>
      <c r="F26" s="60" t="n">
        <v>2</v>
      </c>
    </row>
    <row r="27" ht="15" customHeight="1" s="42">
      <c r="A27" s="60" t="inlineStr">
        <is>
          <t>Frère Fouras</t>
        </is>
      </c>
      <c r="B27" s="48" t="inlineStr">
        <is>
          <t>Groupe 1 - Famille Raccourci</t>
        </is>
      </c>
      <c r="C27" s="60" t="n">
        <v>4</v>
      </c>
      <c r="D27" s="60" t="inlineStr">
        <is>
          <t>Observation</t>
        </is>
      </c>
      <c r="E27" s="71" t="inlineStr">
        <is>
          <t>Observateur</t>
        </is>
      </c>
      <c r="F27" s="60" t="n">
        <v>1</v>
      </c>
    </row>
    <row r="28" ht="15" customHeight="1" s="42">
      <c r="A28" s="70" t="inlineStr">
        <is>
          <t>Frère Maskass</t>
        </is>
      </c>
      <c r="B28" s="55" t="inlineStr">
        <is>
          <t>Groupe 3</t>
        </is>
      </c>
      <c r="C28" s="70" t="n">
        <v>4</v>
      </c>
      <c r="D28" s="70" t="inlineStr">
        <is>
          <t>Baston</t>
        </is>
      </c>
      <c r="E28" s="70" t="inlineStr">
        <is>
          <t>Baston</t>
        </is>
      </c>
      <c r="F28" s="70" t="n">
        <v>2</v>
      </c>
    </row>
    <row r="29" ht="15" customHeight="1" s="42">
      <c r="A29" s="70" t="inlineStr">
        <is>
          <t>Frère Maskass</t>
        </is>
      </c>
      <c r="B29" s="55" t="inlineStr">
        <is>
          <t>Groupe 3</t>
        </is>
      </c>
      <c r="C29" s="70" t="n">
        <v>4</v>
      </c>
      <c r="D29" s="70" t="inlineStr">
        <is>
          <t>Stratège</t>
        </is>
      </c>
      <c r="E29" s="70" t="inlineStr">
        <is>
          <t>Stratège</t>
        </is>
      </c>
      <c r="F29" s="70" t="n">
        <v>2</v>
      </c>
    </row>
    <row r="30" ht="15" customHeight="1" s="42">
      <c r="A30" s="70" t="inlineStr">
        <is>
          <t>Frère Maskass</t>
        </is>
      </c>
      <c r="B30" s="55" t="inlineStr">
        <is>
          <t>Groupe 3</t>
        </is>
      </c>
      <c r="C30" s="70" t="n">
        <v>4</v>
      </c>
      <c r="D30" s="70" t="inlineStr">
        <is>
          <t>Social</t>
        </is>
      </c>
      <c r="E30" s="70" t="inlineStr">
        <is>
          <t>Social</t>
        </is>
      </c>
      <c r="F30" s="70" t="n">
        <v>2</v>
      </c>
    </row>
    <row r="31" ht="15" customHeight="1" s="42">
      <c r="A31" s="70" t="inlineStr">
        <is>
          <t>Frère Maskass</t>
        </is>
      </c>
      <c r="B31" s="55" t="inlineStr">
        <is>
          <t>Groupe 3</t>
        </is>
      </c>
      <c r="C31" s="70" t="n">
        <v>4</v>
      </c>
      <c r="D31" s="70" t="inlineStr">
        <is>
          <t>Observateur</t>
        </is>
      </c>
      <c r="E31" s="70" t="inlineStr">
        <is>
          <t>Observateur</t>
        </is>
      </c>
      <c r="F31" s="70" t="n">
        <v>2</v>
      </c>
    </row>
    <row r="32" ht="15" customHeight="1" s="42">
      <c r="A32" s="70" t="inlineStr">
        <is>
          <t>Frère Maskass</t>
        </is>
      </c>
      <c r="B32" s="55" t="inlineStr">
        <is>
          <t>Groupe 3</t>
        </is>
      </c>
      <c r="C32" s="70" t="n">
        <v>4</v>
      </c>
      <c r="D32" s="70" t="inlineStr">
        <is>
          <t>Théologie</t>
        </is>
      </c>
      <c r="E32" s="70" t="inlineStr">
        <is>
          <t>Théologie</t>
        </is>
      </c>
      <c r="F32" s="70" t="n">
        <v>2</v>
      </c>
    </row>
    <row r="33" ht="15" customHeight="1" s="42">
      <c r="A33" s="60" t="inlineStr">
        <is>
          <t>Sœur Vouivre</t>
        </is>
      </c>
      <c r="B33" s="53" t="inlineStr">
        <is>
          <t>Groupe 4</t>
        </is>
      </c>
      <c r="C33" s="60" t="n">
        <v>4</v>
      </c>
      <c r="D33" s="60" t="inlineStr">
        <is>
          <t>Théologie</t>
        </is>
      </c>
      <c r="E33" s="60" t="inlineStr">
        <is>
          <t>Théologie</t>
        </is>
      </c>
      <c r="F33" s="60" t="n">
        <v>4</v>
      </c>
    </row>
    <row r="34" ht="15" customHeight="1" s="42">
      <c r="A34" s="60" t="inlineStr">
        <is>
          <t>Sœur Vouivre</t>
        </is>
      </c>
      <c r="B34" s="53" t="inlineStr">
        <is>
          <t>Groupe 4</t>
        </is>
      </c>
      <c r="C34" s="60" t="n">
        <v>4</v>
      </c>
      <c r="D34" s="60" t="inlineStr">
        <is>
          <t>Chuchoteur</t>
        </is>
      </c>
      <c r="E34" s="60" t="inlineStr">
        <is>
          <t>Chuchoteur</t>
        </is>
      </c>
      <c r="F34" s="60" t="n">
        <v>2</v>
      </c>
    </row>
    <row r="35" ht="15" customHeight="1" s="42">
      <c r="A35" s="60" t="inlineStr">
        <is>
          <t>Sœur Vouivre</t>
        </is>
      </c>
      <c r="B35" s="53" t="inlineStr">
        <is>
          <t>Groupe 4</t>
        </is>
      </c>
      <c r="C35" s="60" t="n">
        <v>4</v>
      </c>
      <c r="D35" s="60" t="inlineStr">
        <is>
          <t>Ésotérisme</t>
        </is>
      </c>
      <c r="E35" s="60" t="inlineStr">
        <is>
          <t>Ésotérisme</t>
        </is>
      </c>
      <c r="F35" s="60" t="n">
        <v>2</v>
      </c>
    </row>
    <row r="36" ht="15" customHeight="1" s="42">
      <c r="A36" s="60" t="inlineStr">
        <is>
          <t>Sœur Vouivre</t>
        </is>
      </c>
      <c r="B36" s="53" t="inlineStr">
        <is>
          <t>Groupe 4</t>
        </is>
      </c>
      <c r="C36" s="60" t="n">
        <v>4</v>
      </c>
      <c r="D36" s="60" t="inlineStr">
        <is>
          <t>Secourisme</t>
        </is>
      </c>
      <c r="E36" s="60" t="inlineStr">
        <is>
          <t>Secourisme</t>
        </is>
      </c>
      <c r="F36" s="60" t="n">
        <v>1</v>
      </c>
    </row>
    <row r="37" ht="15" customHeight="1" s="42">
      <c r="A37" s="60" t="inlineStr">
        <is>
          <t>Sœur Vouivre</t>
        </is>
      </c>
      <c r="B37" s="53" t="inlineStr">
        <is>
          <t>Groupe 4</t>
        </is>
      </c>
      <c r="C37" s="60" t="n">
        <v>4</v>
      </c>
      <c r="D37" s="60" t="inlineStr">
        <is>
          <t>Observateur</t>
        </is>
      </c>
      <c r="E37" s="60" t="inlineStr">
        <is>
          <t>Observateur</t>
        </is>
      </c>
      <c r="F37" s="60" t="n">
        <v>1</v>
      </c>
    </row>
    <row r="38" ht="15" customHeight="1" s="42">
      <c r="A38" s="70" t="inlineStr">
        <is>
          <t>Frère Menu</t>
        </is>
      </c>
      <c r="B38" s="51" t="inlineStr">
        <is>
          <t>Groupe 2</t>
        </is>
      </c>
      <c r="C38" s="70" t="n">
        <v>3</v>
      </c>
      <c r="D38" s="70" t="inlineStr">
        <is>
          <t>Coach</t>
        </is>
      </c>
      <c r="E38" s="70" t="inlineStr">
        <is>
          <t>Coach</t>
        </is>
      </c>
      <c r="F38" s="70" t="n">
        <v>5</v>
      </c>
    </row>
    <row r="39" ht="15" customHeight="1" s="42">
      <c r="A39" s="70" t="inlineStr">
        <is>
          <t>Frère Menu</t>
        </is>
      </c>
      <c r="B39" s="51" t="inlineStr">
        <is>
          <t>Groupe 2</t>
        </is>
      </c>
      <c r="C39" s="70" t="n">
        <v>3</v>
      </c>
      <c r="D39" s="70" t="inlineStr">
        <is>
          <t>Stratégie</t>
        </is>
      </c>
      <c r="E39" s="70" t="inlineStr">
        <is>
          <t>Stratège</t>
        </is>
      </c>
      <c r="F39" s="70" t="n">
        <v>1</v>
      </c>
    </row>
    <row r="40" ht="15" customHeight="1" s="42">
      <c r="A40" s="70" t="inlineStr">
        <is>
          <t>Frère Menu</t>
        </is>
      </c>
      <c r="B40" s="51" t="inlineStr">
        <is>
          <t>Groupe 2</t>
        </is>
      </c>
      <c r="C40" s="70" t="n">
        <v>3</v>
      </c>
      <c r="D40" s="70" t="inlineStr">
        <is>
          <t>Athlétisme</t>
        </is>
      </c>
      <c r="E40" s="70" t="inlineStr">
        <is>
          <t>Athlétisme</t>
        </is>
      </c>
      <c r="F40" s="70" t="n">
        <v>-2</v>
      </c>
    </row>
    <row r="41" ht="15" customHeight="1" s="42">
      <c r="A41" s="60" t="inlineStr">
        <is>
          <t>Sœur Dame Blanche</t>
        </is>
      </c>
      <c r="B41" s="48" t="inlineStr">
        <is>
          <t>Groupe 1 - Famille Raccourci</t>
        </is>
      </c>
      <c r="C41" s="60" t="n">
        <v>3</v>
      </c>
      <c r="D41" s="60" t="inlineStr">
        <is>
          <t>Papilusion Social</t>
        </is>
      </c>
      <c r="E41" s="71" t="inlineStr">
        <is>
          <t>Social</t>
        </is>
      </c>
      <c r="F41" s="60" t="n">
        <v>3</v>
      </c>
    </row>
    <row r="42" ht="15" customHeight="1" s="42">
      <c r="A42" s="60" t="inlineStr">
        <is>
          <t>Sœur Dame Blanche</t>
        </is>
      </c>
      <c r="B42" s="48" t="inlineStr">
        <is>
          <t>Groupe 1 - Famille Raccourci</t>
        </is>
      </c>
      <c r="C42" s="60" t="n">
        <v>3</v>
      </c>
      <c r="D42" s="60" t="inlineStr">
        <is>
          <t>Stratégie</t>
        </is>
      </c>
      <c r="E42" s="71" t="inlineStr">
        <is>
          <t>Stratège</t>
        </is>
      </c>
      <c r="F42" s="60" t="n">
        <v>2</v>
      </c>
    </row>
    <row r="43" ht="15" customHeight="1" s="42">
      <c r="A43" s="60" t="inlineStr">
        <is>
          <t>Sœur Dame Blanche</t>
        </is>
      </c>
      <c r="B43" s="48" t="inlineStr">
        <is>
          <t>Groupe 1 - Famille Raccourci</t>
        </is>
      </c>
      <c r="C43" s="60" t="n">
        <v>3</v>
      </c>
      <c r="D43" s="60" t="inlineStr">
        <is>
          <t>Psychologue</t>
        </is>
      </c>
      <c r="E43" s="60" t="inlineStr">
        <is>
          <t>Psychologue</t>
        </is>
      </c>
      <c r="F43" s="60" t="n">
        <v>2</v>
      </c>
    </row>
    <row r="44" ht="15" customHeight="1" s="42">
      <c r="A44" s="60" t="inlineStr">
        <is>
          <t>Sœur Dame Blanche</t>
        </is>
      </c>
      <c r="B44" s="48" t="inlineStr">
        <is>
          <t>Groupe 1 - Famille Raccourci</t>
        </is>
      </c>
      <c r="C44" s="60" t="n">
        <v>3</v>
      </c>
      <c r="D44" s="60" t="inlineStr">
        <is>
          <t>Coach</t>
        </is>
      </c>
      <c r="E44" s="60" t="inlineStr">
        <is>
          <t>Coach</t>
        </is>
      </c>
      <c r="F44" s="60" t="n">
        <v>1</v>
      </c>
    </row>
    <row r="45" ht="15" customHeight="1" s="42">
      <c r="A45" s="70" t="inlineStr">
        <is>
          <t>Sœur Gardienne</t>
        </is>
      </c>
      <c r="B45" s="51" t="inlineStr">
        <is>
          <t>Groupe 2</t>
        </is>
      </c>
      <c r="C45" s="70" t="n">
        <v>3</v>
      </c>
      <c r="D45" s="70" t="inlineStr">
        <is>
          <t>Stratégie</t>
        </is>
      </c>
      <c r="E45" s="70" t="inlineStr">
        <is>
          <t>Stratège</t>
        </is>
      </c>
      <c r="F45" s="70" t="n">
        <v>2</v>
      </c>
    </row>
    <row r="46" ht="15" customHeight="1" s="42">
      <c r="A46" s="70" t="inlineStr">
        <is>
          <t>Sœur Gardienne</t>
        </is>
      </c>
      <c r="B46" s="51" t="inlineStr">
        <is>
          <t>Groupe 2</t>
        </is>
      </c>
      <c r="C46" s="70" t="n">
        <v>3</v>
      </c>
      <c r="D46" s="70" t="inlineStr">
        <is>
          <t>Athlétisme</t>
        </is>
      </c>
      <c r="E46" s="70" t="inlineStr">
        <is>
          <t>Athlétisme</t>
        </is>
      </c>
      <c r="F46" s="70" t="n">
        <v>3</v>
      </c>
    </row>
    <row r="47" ht="15" customHeight="1" s="42">
      <c r="A47" s="70" t="inlineStr">
        <is>
          <t>Sœur Gardienne</t>
        </is>
      </c>
      <c r="B47" s="51" t="inlineStr">
        <is>
          <t>Groupe 2</t>
        </is>
      </c>
      <c r="C47" s="70" t="n">
        <v>3</v>
      </c>
      <c r="D47" s="70" t="inlineStr">
        <is>
          <t>Observation</t>
        </is>
      </c>
      <c r="E47" s="70" t="inlineStr">
        <is>
          <t>Observateur</t>
        </is>
      </c>
      <c r="F47" s="70" t="n">
        <v>2</v>
      </c>
    </row>
    <row r="48" ht="15" customHeight="1" s="42">
      <c r="A48" s="70" t="inlineStr">
        <is>
          <t>Sœur Gardienne</t>
        </is>
      </c>
      <c r="B48" s="51" t="inlineStr">
        <is>
          <t>Groupe 2</t>
        </is>
      </c>
      <c r="C48" s="70" t="n">
        <v>3</v>
      </c>
      <c r="D48" s="70" t="inlineStr">
        <is>
          <t>Baston</t>
        </is>
      </c>
      <c r="E48" s="70" t="inlineStr">
        <is>
          <t>Baston</t>
        </is>
      </c>
      <c r="F48" s="70" t="n">
        <v>1</v>
      </c>
    </row>
    <row r="49" ht="15" customHeight="1" s="42">
      <c r="A49" s="60" t="inlineStr">
        <is>
          <t>Sœur Pie</t>
        </is>
      </c>
      <c r="B49" s="53" t="inlineStr">
        <is>
          <t>Groupe 4</t>
        </is>
      </c>
      <c r="C49" s="60" t="n">
        <v>3</v>
      </c>
      <c r="D49" s="60" t="inlineStr">
        <is>
          <t>Social</t>
        </is>
      </c>
      <c r="E49" s="60" t="inlineStr">
        <is>
          <t>Social</t>
        </is>
      </c>
      <c r="F49" s="60" t="n">
        <v>2</v>
      </c>
    </row>
    <row r="50" ht="15" customHeight="1" s="42">
      <c r="A50" s="60" t="inlineStr">
        <is>
          <t>Sœur Pie</t>
        </is>
      </c>
      <c r="B50" s="53" t="inlineStr">
        <is>
          <t>Groupe 4</t>
        </is>
      </c>
      <c r="C50" s="60" t="n">
        <v>3</v>
      </c>
      <c r="D50" s="60" t="inlineStr">
        <is>
          <t>Observateur</t>
        </is>
      </c>
      <c r="E50" s="60" t="inlineStr">
        <is>
          <t>Observateur</t>
        </is>
      </c>
      <c r="F50" s="60" t="n">
        <v>2</v>
      </c>
    </row>
    <row r="51" ht="15" customHeight="1" s="42">
      <c r="A51" s="60" t="inlineStr">
        <is>
          <t>Sœur Pie</t>
        </is>
      </c>
      <c r="B51" s="53" t="inlineStr">
        <is>
          <t>Groupe 4</t>
        </is>
      </c>
      <c r="C51" s="60" t="n">
        <v>3</v>
      </c>
      <c r="D51" s="60" t="inlineStr">
        <is>
          <t>Psychologue</t>
        </is>
      </c>
      <c r="E51" s="60" t="inlineStr">
        <is>
          <t>Psychologue</t>
        </is>
      </c>
      <c r="F51" s="60" t="n">
        <v>2</v>
      </c>
    </row>
    <row r="52" ht="15" customHeight="1" s="42">
      <c r="A52" s="60" t="inlineStr">
        <is>
          <t>Sœur Pie</t>
        </is>
      </c>
      <c r="B52" s="53" t="inlineStr">
        <is>
          <t>Groupe 4</t>
        </is>
      </c>
      <c r="C52" s="60" t="n">
        <v>3</v>
      </c>
      <c r="D52" s="60" t="inlineStr">
        <is>
          <t>Infiltrateur</t>
        </is>
      </c>
      <c r="E52" s="60" t="inlineStr">
        <is>
          <t>Infiltrateur</t>
        </is>
      </c>
      <c r="F52" s="60" t="n">
        <v>2</v>
      </c>
    </row>
    <row r="53" ht="15" customHeight="1" s="42">
      <c r="A53" s="70" t="inlineStr">
        <is>
          <t>Frère Bihainebi (Denis)</t>
        </is>
      </c>
      <c r="B53" s="51" t="inlineStr">
        <is>
          <t>Groupe 2</t>
        </is>
      </c>
      <c r="C53" s="70" t="n">
        <v>2</v>
      </c>
      <c r="D53" s="70" t="inlineStr">
        <is>
          <t>Marchand</t>
        </is>
      </c>
      <c r="E53" s="70" t="inlineStr">
        <is>
          <t>Marchand</t>
        </is>
      </c>
      <c r="F53" s="70" t="n">
        <v>3</v>
      </c>
    </row>
    <row r="54" ht="15" customHeight="1" s="42">
      <c r="A54" s="70" t="inlineStr">
        <is>
          <t>Frère Bihainebi (Denis)</t>
        </is>
      </c>
      <c r="B54" s="51" t="inlineStr">
        <is>
          <t>Groupe 2</t>
        </is>
      </c>
      <c r="C54" s="70" t="n">
        <v>2</v>
      </c>
      <c r="D54" s="70" t="inlineStr">
        <is>
          <t>Stratégie</t>
        </is>
      </c>
      <c r="E54" s="70" t="inlineStr">
        <is>
          <t>Stratège</t>
        </is>
      </c>
      <c r="F54" s="70" t="n">
        <v>1</v>
      </c>
    </row>
    <row r="55" ht="15" customHeight="1" s="42">
      <c r="A55" s="70" t="inlineStr">
        <is>
          <t>Frère Bihainebi (Denis)</t>
        </is>
      </c>
      <c r="B55" s="51" t="inlineStr">
        <is>
          <t>Groupe 2</t>
        </is>
      </c>
      <c r="C55" s="70" t="n">
        <v>2</v>
      </c>
      <c r="D55" s="70" t="inlineStr">
        <is>
          <t>Psychologue</t>
        </is>
      </c>
      <c r="E55" s="70" t="inlineStr">
        <is>
          <t>Psychologue</t>
        </is>
      </c>
      <c r="F55" s="70" t="n">
        <v>1</v>
      </c>
    </row>
    <row r="56" ht="15" customHeight="1" s="42">
      <c r="A56" s="70" t="inlineStr">
        <is>
          <t>Frère Bihainebi (Denis)</t>
        </is>
      </c>
      <c r="B56" s="51" t="inlineStr">
        <is>
          <t>Groupe 2</t>
        </is>
      </c>
      <c r="C56" s="70" t="n">
        <v>2</v>
      </c>
      <c r="D56" s="70" t="inlineStr">
        <is>
          <t>Observation</t>
        </is>
      </c>
      <c r="E56" s="70" t="inlineStr">
        <is>
          <t>Observateur</t>
        </is>
      </c>
      <c r="F56" s="70" t="n">
        <v>1</v>
      </c>
    </row>
    <row r="57" ht="15" customHeight="1" s="42">
      <c r="A57" s="60" t="inlineStr">
        <is>
          <t>Frère Dump</t>
        </is>
      </c>
      <c r="B57" s="51" t="inlineStr">
        <is>
          <t>Groupe 2</t>
        </is>
      </c>
      <c r="C57" s="60" t="n">
        <v>2</v>
      </c>
      <c r="D57" s="60" t="inlineStr">
        <is>
          <t>Stratégie</t>
        </is>
      </c>
      <c r="E57" s="71" t="inlineStr">
        <is>
          <t>Stratège</t>
        </is>
      </c>
      <c r="F57" s="60" t="n">
        <v>2</v>
      </c>
    </row>
    <row r="58" ht="15" customHeight="1" s="42">
      <c r="A58" s="60" t="inlineStr">
        <is>
          <t>Frère Dump</t>
        </is>
      </c>
      <c r="B58" s="51" t="inlineStr">
        <is>
          <t>Groupe 2</t>
        </is>
      </c>
      <c r="C58" s="60" t="n">
        <v>2</v>
      </c>
      <c r="D58" s="60" t="inlineStr">
        <is>
          <t>Marchandage</t>
        </is>
      </c>
      <c r="E58" s="71" t="inlineStr">
        <is>
          <t>Marchand</t>
        </is>
      </c>
      <c r="F58" s="60" t="n">
        <v>3</v>
      </c>
    </row>
    <row r="59" ht="15" customHeight="1" s="42">
      <c r="A59" s="60" t="inlineStr">
        <is>
          <t>Frère Dump</t>
        </is>
      </c>
      <c r="B59" s="51" t="inlineStr">
        <is>
          <t>Groupe 2</t>
        </is>
      </c>
      <c r="C59" s="60" t="n">
        <v>2</v>
      </c>
      <c r="D59" s="60" t="inlineStr">
        <is>
          <t>Technologie</t>
        </is>
      </c>
      <c r="E59" s="71" t="inlineStr">
        <is>
          <t>Technicien</t>
        </is>
      </c>
      <c r="F59" s="60" t="n">
        <v>1</v>
      </c>
    </row>
    <row r="60" ht="15" customHeight="1" s="42">
      <c r="A60" s="70" t="inlineStr">
        <is>
          <t>Frère Pump</t>
        </is>
      </c>
      <c r="B60" s="51" t="inlineStr">
        <is>
          <t>Groupe 2</t>
        </is>
      </c>
      <c r="C60" s="70" t="n">
        <v>2</v>
      </c>
      <c r="D60" s="70" t="inlineStr">
        <is>
          <t>Stratégie</t>
        </is>
      </c>
      <c r="E60" s="70" t="inlineStr">
        <is>
          <t>Stratège</t>
        </is>
      </c>
      <c r="F60" s="70" t="n">
        <v>2</v>
      </c>
    </row>
    <row r="61" ht="15" customHeight="1" s="42">
      <c r="A61" s="70" t="inlineStr">
        <is>
          <t>Frère Pump</t>
        </is>
      </c>
      <c r="B61" s="51" t="inlineStr">
        <is>
          <t>Groupe 2</t>
        </is>
      </c>
      <c r="C61" s="70" t="n">
        <v>2</v>
      </c>
      <c r="D61" s="70" t="inlineStr">
        <is>
          <t>Marchandage</t>
        </is>
      </c>
      <c r="E61" s="70" t="inlineStr">
        <is>
          <t>Marchand</t>
        </is>
      </c>
      <c r="F61" s="70" t="n">
        <v>1</v>
      </c>
    </row>
    <row r="62" ht="15" customHeight="1" s="42">
      <c r="A62" s="70" t="inlineStr">
        <is>
          <t>Frère Pump</t>
        </is>
      </c>
      <c r="B62" s="51" t="inlineStr">
        <is>
          <t>Groupe 2</t>
        </is>
      </c>
      <c r="C62" s="70" t="n">
        <v>2</v>
      </c>
      <c r="D62" s="70" t="inlineStr">
        <is>
          <t>Technologie</t>
        </is>
      </c>
      <c r="E62" s="70" t="inlineStr">
        <is>
          <t>Technicien</t>
        </is>
      </c>
      <c r="F62" s="70" t="n">
        <v>3</v>
      </c>
    </row>
    <row r="63" ht="15" customHeight="1" s="42">
      <c r="A63" s="60" t="inlineStr">
        <is>
          <t>Frère Tigre</t>
        </is>
      </c>
      <c r="B63" s="48" t="inlineStr">
        <is>
          <t>Groupe 1 - Famille Raccourci</t>
        </is>
      </c>
      <c r="C63" s="60" t="n">
        <v>2</v>
      </c>
      <c r="D63" s="60" t="inlineStr">
        <is>
          <t>Infiltration</t>
        </is>
      </c>
      <c r="E63" s="71" t="inlineStr">
        <is>
          <t>Infiltrateur</t>
        </is>
      </c>
      <c r="F63" s="60" t="n">
        <v>2</v>
      </c>
    </row>
    <row r="64" ht="15" customHeight="1" s="42">
      <c r="A64" s="60" t="inlineStr">
        <is>
          <t>Frère Tigre</t>
        </is>
      </c>
      <c r="B64" s="48" t="inlineStr">
        <is>
          <t>Groupe 1 - Famille Raccourci</t>
        </is>
      </c>
      <c r="C64" s="60" t="n">
        <v>2</v>
      </c>
      <c r="D64" s="60" t="inlineStr">
        <is>
          <t>Athlétisme</t>
        </is>
      </c>
      <c r="E64" s="60" t="inlineStr">
        <is>
          <t>Athlétisme</t>
        </is>
      </c>
      <c r="F64" s="60" t="n">
        <v>2</v>
      </c>
    </row>
    <row r="65" ht="15" customHeight="1" s="42">
      <c r="A65" s="60" t="inlineStr">
        <is>
          <t>Frère Tigre</t>
        </is>
      </c>
      <c r="B65" s="48" t="inlineStr">
        <is>
          <t>Groupe 1 - Famille Raccourci</t>
        </is>
      </c>
      <c r="C65" s="60" t="n">
        <v>2</v>
      </c>
      <c r="D65" s="60" t="inlineStr">
        <is>
          <t>Stratégie</t>
        </is>
      </c>
      <c r="E65" s="71" t="inlineStr">
        <is>
          <t>Stratège</t>
        </is>
      </c>
      <c r="F65" s="60" t="n">
        <v>1</v>
      </c>
    </row>
    <row r="66" ht="15" customHeight="1" s="42">
      <c r="A66" s="60" t="inlineStr">
        <is>
          <t>Frère Tigre</t>
        </is>
      </c>
      <c r="B66" s="48" t="inlineStr">
        <is>
          <t>Groupe 1 - Famille Raccourci</t>
        </is>
      </c>
      <c r="C66" s="60" t="n">
        <v>2</v>
      </c>
      <c r="D66" s="60" t="inlineStr">
        <is>
          <t>Baston</t>
        </is>
      </c>
      <c r="E66" s="60" t="inlineStr">
        <is>
          <t>Baston</t>
        </is>
      </c>
      <c r="F66" s="60" t="n">
        <v>1</v>
      </c>
    </row>
    <row r="67" ht="15" customHeight="1" s="42">
      <c r="A67" s="70" t="inlineStr">
        <is>
          <t>Frère Junior</t>
        </is>
      </c>
      <c r="B67" s="53" t="inlineStr">
        <is>
          <t>Groupe 4</t>
        </is>
      </c>
      <c r="C67" s="70" t="n">
        <v>1</v>
      </c>
      <c r="D67" s="70" t="inlineStr">
        <is>
          <t>Athlétisme</t>
        </is>
      </c>
      <c r="E67" s="70" t="inlineStr">
        <is>
          <t>Athlétisme</t>
        </is>
      </c>
      <c r="F67" s="70" t="n">
        <v>1</v>
      </c>
    </row>
    <row r="68" ht="15" customHeight="1" s="42">
      <c r="A68" s="70" t="inlineStr">
        <is>
          <t>Frère Junior</t>
        </is>
      </c>
      <c r="B68" s="53" t="inlineStr">
        <is>
          <t>Groupe 4</t>
        </is>
      </c>
      <c r="C68" s="70" t="n">
        <v>1</v>
      </c>
      <c r="D68" s="70" t="inlineStr">
        <is>
          <t>Stratégie</t>
        </is>
      </c>
      <c r="E68" s="70" t="inlineStr">
        <is>
          <t>Stratège</t>
        </is>
      </c>
      <c r="F68" s="70" t="n">
        <v>1</v>
      </c>
    </row>
    <row r="69" ht="15" customHeight="1" s="42">
      <c r="A69" s="70" t="inlineStr">
        <is>
          <t>Frère Junior</t>
        </is>
      </c>
      <c r="B69" s="53" t="inlineStr">
        <is>
          <t>Groupe 4</t>
        </is>
      </c>
      <c r="C69" s="70" t="n">
        <v>1</v>
      </c>
      <c r="D69" s="70" t="inlineStr">
        <is>
          <t>Coach</t>
        </is>
      </c>
      <c r="E69" s="70" t="inlineStr">
        <is>
          <t>Coach</t>
        </is>
      </c>
      <c r="F69" s="70" t="n">
        <v>1</v>
      </c>
    </row>
    <row r="70" ht="15" customHeight="1" s="42">
      <c r="A70" s="70" t="inlineStr">
        <is>
          <t>Frère Junior</t>
        </is>
      </c>
      <c r="B70" s="53" t="inlineStr">
        <is>
          <t>Groupe 4</t>
        </is>
      </c>
      <c r="C70" s="70" t="n">
        <v>1</v>
      </c>
      <c r="D70" s="70" t="inlineStr">
        <is>
          <t>Papilusion Social</t>
        </is>
      </c>
      <c r="E70" s="70" t="inlineStr">
        <is>
          <t>Social</t>
        </is>
      </c>
      <c r="F70" s="70" t="n">
        <v>1</v>
      </c>
    </row>
    <row r="71" ht="15" customHeight="1" s="42">
      <c r="A71" s="60" t="inlineStr">
        <is>
          <t>Frère Nasse</t>
        </is>
      </c>
      <c r="B71" s="57" t="inlineStr">
        <is>
          <t>Sans groupe (restants)</t>
        </is>
      </c>
      <c r="C71" s="60" t="n">
        <v>1</v>
      </c>
      <c r="D71" s="60" t="inlineStr">
        <is>
          <t>Survivaliste</t>
        </is>
      </c>
      <c r="E71" s="60" t="inlineStr">
        <is>
          <t>Survivaliste</t>
        </is>
      </c>
      <c r="F71" s="60" t="n">
        <v>1</v>
      </c>
    </row>
    <row r="72" ht="15" customHeight="1" s="42">
      <c r="A72" s="60" t="inlineStr">
        <is>
          <t>Frère Nasse</t>
        </is>
      </c>
      <c r="B72" s="57" t="inlineStr">
        <is>
          <t>Sans groupe (restants)</t>
        </is>
      </c>
      <c r="C72" s="60" t="n">
        <v>1</v>
      </c>
      <c r="D72" s="60" t="inlineStr">
        <is>
          <t>Naturalisme</t>
        </is>
      </c>
      <c r="E72" s="60" t="inlineStr">
        <is>
          <t>Naturalisme</t>
        </is>
      </c>
      <c r="F72" s="60" t="n">
        <v>1</v>
      </c>
    </row>
    <row r="73" ht="15" customHeight="1" s="42">
      <c r="A73" s="60" t="inlineStr">
        <is>
          <t>Frère Nasse</t>
        </is>
      </c>
      <c r="B73" s="57" t="inlineStr">
        <is>
          <t>Sans groupe (restants)</t>
        </is>
      </c>
      <c r="C73" s="60" t="n">
        <v>1</v>
      </c>
      <c r="D73" s="60" t="inlineStr">
        <is>
          <t>Construction</t>
        </is>
      </c>
      <c r="E73" s="60" t="inlineStr">
        <is>
          <t>Construction</t>
        </is>
      </c>
      <c r="F73" s="60" t="n">
        <v>1</v>
      </c>
    </row>
    <row r="74" ht="15" customHeight="1" s="42">
      <c r="A74" s="60" t="inlineStr">
        <is>
          <t>Frère Nasse</t>
        </is>
      </c>
      <c r="B74" s="57" t="inlineStr">
        <is>
          <t>Sans groupe (restants)</t>
        </is>
      </c>
      <c r="C74" s="60" t="n">
        <v>1</v>
      </c>
      <c r="D74" s="60" t="inlineStr">
        <is>
          <t>Marchand</t>
        </is>
      </c>
      <c r="E74" s="60" t="inlineStr">
        <is>
          <t>Marchand</t>
        </is>
      </c>
      <c r="F74" s="60" t="n">
        <v>1</v>
      </c>
    </row>
    <row r="75" ht="15" customHeight="1" s="42">
      <c r="A75" s="70" t="inlineStr">
        <is>
          <t>Frère Passe</t>
        </is>
      </c>
      <c r="B75" s="48" t="inlineStr">
        <is>
          <t>Groupe 1 - Famille Raccourci</t>
        </is>
      </c>
      <c r="C75" s="70" t="n">
        <v>1</v>
      </c>
      <c r="D75" s="70" t="inlineStr">
        <is>
          <t>Infiltration</t>
        </is>
      </c>
      <c r="E75" s="70" t="inlineStr">
        <is>
          <t>Infiltrateur</t>
        </is>
      </c>
      <c r="F75" s="70" t="n">
        <v>2</v>
      </c>
    </row>
    <row r="76" ht="15" customHeight="1" s="42">
      <c r="A76" s="70" t="inlineStr">
        <is>
          <t>Frère Passe</t>
        </is>
      </c>
      <c r="B76" s="48" t="inlineStr">
        <is>
          <t>Groupe 1 - Famille Raccourci</t>
        </is>
      </c>
      <c r="C76" s="70" t="n">
        <v>1</v>
      </c>
      <c r="D76" s="70" t="inlineStr">
        <is>
          <t>Athlétisme</t>
        </is>
      </c>
      <c r="E76" s="70" t="inlineStr">
        <is>
          <t>Athlétisme</t>
        </is>
      </c>
      <c r="F76" s="70" t="n">
        <v>2</v>
      </c>
    </row>
    <row r="77" ht="15" customHeight="1" s="42">
      <c r="A77" s="60" t="inlineStr">
        <is>
          <t>Sœur Ours</t>
        </is>
      </c>
      <c r="B77" s="55" t="inlineStr">
        <is>
          <t>Groupe 3</t>
        </is>
      </c>
      <c r="C77" s="60" t="n">
        <v>1</v>
      </c>
      <c r="D77" s="60" t="inlineStr">
        <is>
          <t>Cuisine</t>
        </is>
      </c>
      <c r="E77" s="60" t="inlineStr">
        <is>
          <t>Cuisine</t>
        </is>
      </c>
      <c r="F77" s="60" t="n">
        <v>1</v>
      </c>
    </row>
    <row r="78" ht="15" customHeight="1" s="42">
      <c r="A78" s="60" t="inlineStr">
        <is>
          <t>Sœur Ours</t>
        </is>
      </c>
      <c r="B78" s="55" t="inlineStr">
        <is>
          <t>Groupe 3</t>
        </is>
      </c>
      <c r="C78" s="60" t="n">
        <v>1</v>
      </c>
      <c r="D78" s="60" t="inlineStr">
        <is>
          <t>Chuchoteur</t>
        </is>
      </c>
      <c r="E78" s="60" t="inlineStr">
        <is>
          <t>Chuchoteur</t>
        </is>
      </c>
      <c r="F78" s="60" t="n">
        <v>2</v>
      </c>
    </row>
    <row r="79" ht="15" customHeight="1" s="42">
      <c r="A79" s="60" t="inlineStr">
        <is>
          <t>Sœur Ours</t>
        </is>
      </c>
      <c r="B79" s="55" t="inlineStr">
        <is>
          <t>Groupe 3</t>
        </is>
      </c>
      <c r="C79" s="60" t="n">
        <v>1</v>
      </c>
      <c r="D79" s="60" t="inlineStr">
        <is>
          <t>Coach</t>
        </is>
      </c>
      <c r="E79" s="60" t="inlineStr">
        <is>
          <t>Coach</t>
        </is>
      </c>
      <c r="F79" s="60" t="n">
        <v>1</v>
      </c>
    </row>
    <row r="80" ht="15" customHeight="1" s="42">
      <c r="A80" s="59" t="inlineStr">
        <is>
          <t>Frère Dark</t>
        </is>
      </c>
      <c r="B80" s="55" t="inlineStr">
        <is>
          <t>Groupe 3</t>
        </is>
      </c>
      <c r="C80" s="70" t="n">
        <v>0</v>
      </c>
      <c r="D80" s="70" t="inlineStr">
        <is>
          <t>Coach</t>
        </is>
      </c>
      <c r="E80" s="70" t="inlineStr">
        <is>
          <t>Coach</t>
        </is>
      </c>
      <c r="F80" s="70" t="n">
        <v>1</v>
      </c>
    </row>
    <row r="81" ht="15" customHeight="1" s="42">
      <c r="A81" s="59" t="inlineStr">
        <is>
          <t>Frère Dark</t>
        </is>
      </c>
      <c r="B81" s="55" t="inlineStr">
        <is>
          <t>Groupe 3</t>
        </is>
      </c>
      <c r="C81" s="70" t="n">
        <v>0</v>
      </c>
      <c r="D81" s="70" t="inlineStr">
        <is>
          <t>Stratège</t>
        </is>
      </c>
      <c r="E81" s="70" t="inlineStr">
        <is>
          <t>Stratège</t>
        </is>
      </c>
      <c r="F81" s="70" t="n">
        <v>3</v>
      </c>
    </row>
    <row r="82" ht="15" customHeight="1" s="42">
      <c r="A82" s="59" t="inlineStr">
        <is>
          <t>Frère Dark</t>
        </is>
      </c>
      <c r="B82" s="55" t="inlineStr">
        <is>
          <t>Groupe 3</t>
        </is>
      </c>
      <c r="C82" s="70" t="n">
        <v>0</v>
      </c>
      <c r="D82" s="70" t="inlineStr">
        <is>
          <t>Papillusion Social</t>
        </is>
      </c>
      <c r="E82" s="70" t="inlineStr">
        <is>
          <t>Social</t>
        </is>
      </c>
      <c r="F82" s="70" t="n">
        <v>-2</v>
      </c>
    </row>
    <row r="83" ht="15" customHeight="1" s="42">
      <c r="A83" s="59" t="inlineStr">
        <is>
          <t>Frère Dark</t>
        </is>
      </c>
      <c r="B83" s="55" t="inlineStr">
        <is>
          <t>Groupe 3</t>
        </is>
      </c>
      <c r="C83" s="70" t="n">
        <v>0</v>
      </c>
      <c r="D83" s="70" t="inlineStr">
        <is>
          <t>Chuchoteur</t>
        </is>
      </c>
      <c r="E83" s="70" t="inlineStr">
        <is>
          <t>Chuchoteur</t>
        </is>
      </c>
      <c r="F83" s="70" t="n">
        <v>1</v>
      </c>
    </row>
    <row r="84" ht="15" customHeight="1" s="42">
      <c r="A84" s="59" t="inlineStr">
        <is>
          <t>Frère Dark</t>
        </is>
      </c>
      <c r="B84" s="55" t="inlineStr">
        <is>
          <t>Groupe 3</t>
        </is>
      </c>
      <c r="C84" s="70" t="n">
        <v>0</v>
      </c>
      <c r="D84" s="70" t="inlineStr">
        <is>
          <t>Observateur</t>
        </is>
      </c>
      <c r="E84" s="70" t="inlineStr">
        <is>
          <t>Observateur</t>
        </is>
      </c>
      <c r="F84" s="70" t="n">
        <v>1</v>
      </c>
    </row>
    <row r="85" ht="15" customHeight="1" s="42">
      <c r="A85" s="59" t="inlineStr">
        <is>
          <t>Frère Dark</t>
        </is>
      </c>
      <c r="B85" s="55" t="inlineStr">
        <is>
          <t>Groupe 3</t>
        </is>
      </c>
      <c r="C85" s="70" t="n">
        <v>0</v>
      </c>
      <c r="D85" s="70" t="inlineStr">
        <is>
          <t>Athlétisme</t>
        </is>
      </c>
      <c r="E85" s="70" t="inlineStr">
        <is>
          <t>Athlétisme</t>
        </is>
      </c>
      <c r="F85" s="70" t="n">
        <v>2</v>
      </c>
    </row>
    <row r="86" ht="15" customHeight="1" s="42">
      <c r="A86" s="59" t="inlineStr">
        <is>
          <t>Frère Dark</t>
        </is>
      </c>
      <c r="B86" s="55" t="inlineStr">
        <is>
          <t>Groupe 3</t>
        </is>
      </c>
      <c r="C86" s="70" t="n">
        <v>0</v>
      </c>
      <c r="D86" s="70" t="inlineStr">
        <is>
          <t>Baston</t>
        </is>
      </c>
      <c r="E86" s="70" t="inlineStr">
        <is>
          <t>Baston</t>
        </is>
      </c>
      <c r="F86" s="70" t="n">
        <v>4</v>
      </c>
    </row>
    <row r="87" ht="15" customHeight="1" s="42">
      <c r="A87" s="59" t="inlineStr">
        <is>
          <t>Frère Dark</t>
        </is>
      </c>
      <c r="B87" s="55" t="inlineStr">
        <is>
          <t>Groupe 3</t>
        </is>
      </c>
      <c r="C87" s="70" t="n">
        <v>0</v>
      </c>
      <c r="D87" s="70" t="inlineStr">
        <is>
          <t>Cuisine</t>
        </is>
      </c>
      <c r="E87" s="70" t="inlineStr">
        <is>
          <t>Cuisine</t>
        </is>
      </c>
      <c r="F87" s="70" t="n">
        <v>4</v>
      </c>
    </row>
    <row r="88" ht="15" customHeight="1" s="42">
      <c r="A88" s="59" t="inlineStr">
        <is>
          <t>Modulo</t>
        </is>
      </c>
      <c r="B88" s="53" t="inlineStr">
        <is>
          <t>Groupe 4</t>
        </is>
      </c>
      <c r="C88" s="60" t="n"/>
      <c r="D88" s="60" t="inlineStr">
        <is>
          <t>Coach</t>
        </is>
      </c>
      <c r="E88" s="60" t="inlineStr">
        <is>
          <t>Coach</t>
        </is>
      </c>
      <c r="F88" s="60" t="n">
        <v>5</v>
      </c>
    </row>
    <row r="89" ht="15" customHeight="1" s="42">
      <c r="A89" s="59" t="inlineStr">
        <is>
          <t>Modulo</t>
        </is>
      </c>
      <c r="B89" s="53" t="inlineStr">
        <is>
          <t>Groupe 4</t>
        </is>
      </c>
      <c r="C89" s="60" t="n"/>
      <c r="D89" s="60" t="inlineStr">
        <is>
          <t>Baston</t>
        </is>
      </c>
      <c r="E89" s="60" t="inlineStr">
        <is>
          <t>Baston</t>
        </is>
      </c>
      <c r="F89" s="60" t="n">
        <v>3</v>
      </c>
    </row>
    <row r="90" ht="15" customHeight="1" s="42">
      <c r="A90" s="59" t="inlineStr">
        <is>
          <t>Modulo</t>
        </is>
      </c>
      <c r="B90" s="53" t="inlineStr">
        <is>
          <t>Groupe 4</t>
        </is>
      </c>
      <c r="C90" s="60" t="n"/>
      <c r="D90" s="60" t="inlineStr">
        <is>
          <t>Stratégie</t>
        </is>
      </c>
      <c r="E90" s="71" t="inlineStr">
        <is>
          <t>Stratège</t>
        </is>
      </c>
      <c r="F90" s="60" t="n">
        <v>3</v>
      </c>
    </row>
    <row r="91" ht="15" customHeight="1" s="42">
      <c r="A91" s="59" t="inlineStr">
        <is>
          <t>Modulo</t>
        </is>
      </c>
      <c r="B91" s="53" t="inlineStr">
        <is>
          <t>Groupe 4</t>
        </is>
      </c>
      <c r="C91" s="60" t="n"/>
      <c r="D91" s="60" t="inlineStr">
        <is>
          <t>Observation</t>
        </is>
      </c>
      <c r="E91" s="71" t="inlineStr">
        <is>
          <t>Observateur</t>
        </is>
      </c>
      <c r="F91" s="60" t="n">
        <v>2</v>
      </c>
    </row>
    <row r="92" ht="15" customHeight="1" s="42">
      <c r="A92" s="59" t="inlineStr">
        <is>
          <t>Modulo</t>
        </is>
      </c>
      <c r="B92" s="53" t="inlineStr">
        <is>
          <t>Groupe 4</t>
        </is>
      </c>
      <c r="C92" s="60" t="n"/>
      <c r="D92" s="60" t="inlineStr">
        <is>
          <t>Papillusion Social</t>
        </is>
      </c>
      <c r="E92" s="71" t="inlineStr">
        <is>
          <t>Social</t>
        </is>
      </c>
      <c r="F92" s="60" t="n">
        <v>2</v>
      </c>
    </row>
    <row r="93" ht="15" customHeight="1" s="42">
      <c r="A93" s="59" t="inlineStr">
        <is>
          <t>Modulo</t>
        </is>
      </c>
      <c r="B93" s="53" t="inlineStr">
        <is>
          <t>Groupe 4</t>
        </is>
      </c>
      <c r="C93" s="60" t="n"/>
      <c r="D93" s="60" t="inlineStr">
        <is>
          <t>Secourisme</t>
        </is>
      </c>
      <c r="E93" s="60" t="inlineStr">
        <is>
          <t>Secourisme</t>
        </is>
      </c>
      <c r="F93" s="60" t="n">
        <v>1</v>
      </c>
    </row>
    <row r="94" ht="15" customHeight="1" s="42">
      <c r="A94" s="59" t="inlineStr">
        <is>
          <t>Modulo</t>
        </is>
      </c>
      <c r="B94" s="53" t="inlineStr">
        <is>
          <t>Groupe 4</t>
        </is>
      </c>
      <c r="C94" s="60" t="n"/>
      <c r="D94" s="60" t="inlineStr">
        <is>
          <t>Psychologie</t>
        </is>
      </c>
      <c r="E94" s="71" t="inlineStr">
        <is>
          <t>Psychologue</t>
        </is>
      </c>
      <c r="F94" s="60" t="n">
        <v>-2</v>
      </c>
    </row>
    <row r="95" ht="15" customHeight="1" s="42">
      <c r="A95" s="59" t="inlineStr">
        <is>
          <t>Sœur Automne</t>
        </is>
      </c>
      <c r="B95" s="55" t="inlineStr">
        <is>
          <t>Groupe 3</t>
        </is>
      </c>
      <c r="C95" s="70" t="n"/>
      <c r="D95" s="70" t="inlineStr">
        <is>
          <t>Infiltration</t>
        </is>
      </c>
      <c r="E95" s="70" t="inlineStr">
        <is>
          <t>Infiltrateur</t>
        </is>
      </c>
      <c r="F95" s="70" t="n">
        <v>5</v>
      </c>
    </row>
    <row r="96" ht="15" customHeight="1" s="42">
      <c r="A96" s="59" t="inlineStr">
        <is>
          <t>Sœur Automne</t>
        </is>
      </c>
      <c r="B96" s="55" t="inlineStr">
        <is>
          <t>Groupe 3</t>
        </is>
      </c>
      <c r="C96" s="70" t="n"/>
      <c r="D96" s="70" t="inlineStr">
        <is>
          <t>Psychologue</t>
        </is>
      </c>
      <c r="E96" s="70" t="inlineStr">
        <is>
          <t>Psychologue</t>
        </is>
      </c>
      <c r="F96" s="70" t="n">
        <v>3</v>
      </c>
    </row>
    <row r="97" ht="15" customHeight="1" s="42">
      <c r="A97" s="59" t="inlineStr">
        <is>
          <t>Sœur Automne</t>
        </is>
      </c>
      <c r="B97" s="55" t="inlineStr">
        <is>
          <t>Groupe 3</t>
        </is>
      </c>
      <c r="C97" s="70" t="n"/>
      <c r="D97" s="70" t="inlineStr">
        <is>
          <t>Baston</t>
        </is>
      </c>
      <c r="E97" s="70" t="inlineStr">
        <is>
          <t>Baston</t>
        </is>
      </c>
      <c r="F97" s="70" t="n">
        <v>3</v>
      </c>
    </row>
    <row r="98" ht="15" customHeight="1" s="42">
      <c r="A98" s="59" t="inlineStr">
        <is>
          <t>Sœur Automne</t>
        </is>
      </c>
      <c r="B98" s="55" t="inlineStr">
        <is>
          <t>Groupe 3</t>
        </is>
      </c>
      <c r="C98" s="70" t="n"/>
      <c r="D98" s="70" t="inlineStr">
        <is>
          <t>Ésotérisme</t>
        </is>
      </c>
      <c r="E98" s="70" t="inlineStr">
        <is>
          <t>Ésotérisme</t>
        </is>
      </c>
      <c r="F98" s="70" t="n">
        <v>2</v>
      </c>
    </row>
    <row r="99" ht="15" customHeight="1" s="42">
      <c r="A99" s="59" t="inlineStr">
        <is>
          <t>Sœur Automne</t>
        </is>
      </c>
      <c r="B99" s="55" t="inlineStr">
        <is>
          <t>Groupe 3</t>
        </is>
      </c>
      <c r="C99" s="70" t="n"/>
      <c r="D99" s="70" t="inlineStr">
        <is>
          <t>Stratégie</t>
        </is>
      </c>
      <c r="E99" s="70" t="inlineStr">
        <is>
          <t>Stratège</t>
        </is>
      </c>
      <c r="F99" s="70" t="n">
        <v>2</v>
      </c>
    </row>
    <row r="100" ht="15" customHeight="1" s="42">
      <c r="A100" s="59" t="inlineStr">
        <is>
          <t>Sœur Automne</t>
        </is>
      </c>
      <c r="B100" s="55" t="inlineStr">
        <is>
          <t>Groupe 3</t>
        </is>
      </c>
      <c r="C100" s="70" t="n"/>
      <c r="D100" s="70" t="inlineStr">
        <is>
          <t>Secourisme</t>
        </is>
      </c>
      <c r="E100" s="70" t="inlineStr">
        <is>
          <t>Secourisme</t>
        </is>
      </c>
      <c r="F100" s="70" t="n">
        <v>1</v>
      </c>
    </row>
    <row r="101" ht="15" customHeight="1" s="42">
      <c r="A101" s="59" t="inlineStr">
        <is>
          <t>Sœur Automne</t>
        </is>
      </c>
      <c r="B101" s="55" t="inlineStr">
        <is>
          <t>Groupe 3</t>
        </is>
      </c>
      <c r="C101" s="70" t="n"/>
      <c r="D101" s="70" t="inlineStr">
        <is>
          <t>Papillusion Social</t>
        </is>
      </c>
      <c r="E101" s="70" t="inlineStr">
        <is>
          <t>Social</t>
        </is>
      </c>
      <c r="F101" s="70" t="n">
        <v>-2</v>
      </c>
    </row>
  </sheetData>
  <autoFilter ref="A1:F101"/>
  <dataValidations count="1">
    <dataValidation sqref="E2:E200" showDropDown="0" showInputMessage="0" showErrorMessage="0" allowBlank="1" errorTitle="Compétence non reconnue" error="Utilisez l'un des 18 libellés officiels." type="list" errorStyle="stop" operator="between">
      <formula1>"Stratège,Coach,Observateur,Social,Psychologue,Chuchoteur,Naturalisme,Secourisme,Survivaliste,Athlétisme,Infiltrateur,Cuisine,Technicien,Marchand,Baston,Ésotérisme,Théologie,Construction"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R13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2" customWidth="1" style="41" min="1" max="1"/>
    <col width="30" customWidth="1" style="41" min="2" max="2"/>
    <col width="8" customWidth="1" style="41" min="3" max="3"/>
    <col width="5" customWidth="1" style="41" min="4" max="4"/>
    <col width="38" customWidth="1" style="41" min="5" max="5"/>
    <col width="14" customWidth="1" style="41" min="6" max="6"/>
    <col width="8" customWidth="1" style="41" min="7" max="7"/>
    <col width="20" customWidth="1" style="41" min="8" max="8"/>
    <col width="24" customWidth="1" style="41" min="9" max="9"/>
    <col width="14" customWidth="1" style="41" min="10" max="10"/>
    <col width="20" customWidth="1" style="41" min="11" max="16"/>
    <col width="12" customWidth="1" style="41" min="17" max="17"/>
    <col width="40" customWidth="1" style="41" min="18" max="18"/>
  </cols>
  <sheetData>
    <row r="1" ht="30" customHeight="1" s="42">
      <c r="A1" s="69" t="inlineStr">
        <is>
          <t>Personnage</t>
        </is>
      </c>
      <c r="B1" s="46" t="inlineStr">
        <is>
          <t>Groupe</t>
        </is>
      </c>
      <c r="C1" s="46" t="inlineStr">
        <is>
          <t>Badges</t>
        </is>
      </c>
      <c r="D1" s="46" t="inlineStr">
        <is>
          <t>N°</t>
        </is>
      </c>
      <c r="E1" s="46" t="inlineStr">
        <is>
          <t>Pokémon</t>
        </is>
      </c>
      <c r="F1" s="46" t="inlineStr">
        <is>
          <t>Surnom</t>
        </is>
      </c>
      <c r="G1" s="46" t="inlineStr">
        <is>
          <t>Genre</t>
        </is>
      </c>
      <c r="H1" s="46" t="inlineStr">
        <is>
          <t>Types</t>
        </is>
      </c>
      <c r="I1" s="46" t="inlineStr">
        <is>
          <t>Talent</t>
        </is>
      </c>
      <c r="J1" s="46" t="inlineStr">
        <is>
          <t>Objet</t>
        </is>
      </c>
      <c r="K1" s="46" t="inlineStr">
        <is>
          <t>Attaque 1</t>
        </is>
      </c>
      <c r="L1" s="46" t="inlineStr">
        <is>
          <t>Attaque 2</t>
        </is>
      </c>
      <c r="M1" s="46" t="inlineStr">
        <is>
          <t>Attaque 3</t>
        </is>
      </c>
      <c r="N1" s="46" t="inlineStr">
        <is>
          <t>Attaque 4</t>
        </is>
      </c>
      <c r="O1" s="46" t="inlineStr">
        <is>
          <t>Attaque 5</t>
        </is>
      </c>
      <c r="P1" s="46" t="inlineStr">
        <is>
          <t>Attaque 6</t>
        </is>
      </c>
      <c r="Q1" s="46" t="inlineStr">
        <is>
          <t>Nb attaques</t>
        </is>
      </c>
      <c r="R1" s="46" t="inlineStr">
        <is>
          <t>Notes (rôle, nature, combo)</t>
        </is>
      </c>
    </row>
    <row r="2" ht="15" customHeight="1" s="42">
      <c r="A2" s="70" t="inlineStr">
        <is>
          <t>Frère Boule</t>
        </is>
      </c>
      <c r="B2" s="48" t="inlineStr">
        <is>
          <t>Groupe 1 - Famille Raccourci</t>
        </is>
      </c>
      <c r="C2" s="70" t="n">
        <v>5</v>
      </c>
      <c r="D2" s="70" t="n">
        <v>1</v>
      </c>
      <c r="E2" s="70" t="inlineStr">
        <is>
          <t>Floréclat</t>
        </is>
      </c>
      <c r="F2" s="70" t="n"/>
      <c r="G2" s="70" t="n"/>
      <c r="H2" s="70" t="inlineStr">
        <is>
          <t>Roche-Poison</t>
        </is>
      </c>
      <c r="I2" s="70" t="inlineStr">
        <is>
          <t>Dépôt Toxique</t>
        </is>
      </c>
      <c r="J2" s="70" t="n"/>
      <c r="K2" s="70" t="inlineStr">
        <is>
          <t>Toupie Éclat</t>
        </is>
      </c>
      <c r="L2" s="70" t="inlineStr">
        <is>
          <t>Rayon Gemme</t>
        </is>
      </c>
      <c r="M2" s="70" t="inlineStr">
        <is>
          <t>Cradovague</t>
        </is>
      </c>
      <c r="N2" s="70" t="inlineStr">
        <is>
          <t>Telluriforce</t>
        </is>
      </c>
      <c r="O2" s="70" t="inlineStr">
        <is>
          <t>Explosion</t>
        </is>
      </c>
      <c r="P2" s="70" t="inlineStr">
        <is>
          <t>Picots</t>
        </is>
      </c>
      <c r="Q2" s="70">
        <f>COUNTA(K2:P2)</f>
        <v/>
      </c>
      <c r="R2" s="70" t="n"/>
    </row>
    <row r="3" ht="15" customHeight="1" s="42">
      <c r="A3" s="70" t="inlineStr">
        <is>
          <t>Frère Boule</t>
        </is>
      </c>
      <c r="B3" s="48" t="inlineStr">
        <is>
          <t>Groupe 1 - Famille Raccourci</t>
        </is>
      </c>
      <c r="C3" s="70" t="n">
        <v>5</v>
      </c>
      <c r="D3" s="70" t="n">
        <v>2</v>
      </c>
      <c r="E3" s="70" t="inlineStr">
        <is>
          <t>Altaria</t>
        </is>
      </c>
      <c r="F3" s="70" t="n"/>
      <c r="G3" s="70" t="n"/>
      <c r="H3" s="70" t="inlineStr">
        <is>
          <t>Dragon-Vol</t>
        </is>
      </c>
      <c r="I3" s="70" t="inlineStr">
        <is>
          <t>Ciel Gris</t>
        </is>
      </c>
      <c r="J3" s="70" t="n"/>
      <c r="K3" s="70" t="inlineStr">
        <is>
          <t>Canicule</t>
        </is>
      </c>
      <c r="L3" s="70" t="inlineStr">
        <is>
          <t>Vol / Vent Violent</t>
        </is>
      </c>
      <c r="M3" s="70" t="inlineStr">
        <is>
          <t>Pouvoir Lunaire</t>
        </is>
      </c>
      <c r="N3" s="70" t="inlineStr">
        <is>
          <t>Dracochoc</t>
        </is>
      </c>
      <c r="O3" s="70" t="inlineStr">
        <is>
          <t>Berceuse</t>
        </is>
      </c>
      <c r="P3" s="70" t="inlineStr">
        <is>
          <t>Requiem</t>
        </is>
      </c>
      <c r="Q3" s="70">
        <f>COUNTA(K3:P3)</f>
        <v/>
      </c>
      <c r="R3" s="70" t="n"/>
    </row>
    <row r="4" ht="15" customHeight="1" s="42">
      <c r="A4" s="70" t="inlineStr">
        <is>
          <t>Frère Boule</t>
        </is>
      </c>
      <c r="B4" s="48" t="inlineStr">
        <is>
          <t>Groupe 1 - Famille Raccourci</t>
        </is>
      </c>
      <c r="C4" s="70" t="n">
        <v>5</v>
      </c>
      <c r="D4" s="70" t="n">
        <v>3</v>
      </c>
      <c r="E4" s="70" t="inlineStr">
        <is>
          <t>Charmina</t>
        </is>
      </c>
      <c r="F4" s="70" t="n"/>
      <c r="G4" s="70" t="n"/>
      <c r="H4" s="70" t="inlineStr">
        <is>
          <t>Combat-Psy</t>
        </is>
      </c>
      <c r="I4" s="70" t="inlineStr">
        <is>
          <t>Force Pure</t>
        </is>
      </c>
      <c r="J4" s="70" t="n"/>
      <c r="K4" s="70" t="inlineStr">
        <is>
          <t>Pied Voltige</t>
        </is>
      </c>
      <c r="L4" s="70" t="inlineStr">
        <is>
          <t>Psykoud'Boule</t>
        </is>
      </c>
      <c r="M4" s="70" t="inlineStr">
        <is>
          <t>Poing Glace</t>
        </is>
      </c>
      <c r="N4" s="70" t="inlineStr">
        <is>
          <t>Poing Éclair</t>
        </is>
      </c>
      <c r="O4" s="70" t="inlineStr">
        <is>
          <t>Gonflette</t>
        </is>
      </c>
      <c r="P4" s="70" t="inlineStr">
        <is>
          <t>Soin</t>
        </is>
      </c>
      <c r="Q4" s="70">
        <f>COUNTA(K4:P4)</f>
        <v/>
      </c>
      <c r="R4" s="70" t="n"/>
    </row>
    <row r="5" ht="15" customHeight="1" s="42">
      <c r="A5" s="70" t="inlineStr">
        <is>
          <t>Frère Boule</t>
        </is>
      </c>
      <c r="B5" s="48" t="inlineStr">
        <is>
          <t>Groupe 1 - Famille Raccourci</t>
        </is>
      </c>
      <c r="C5" s="70" t="n">
        <v>5</v>
      </c>
      <c r="D5" s="70" t="n">
        <v>4</v>
      </c>
      <c r="E5" s="70" t="inlineStr">
        <is>
          <t>Hexadron</t>
        </is>
      </c>
      <c r="F5" s="70" t="n"/>
      <c r="G5" s="70" t="n"/>
      <c r="H5" s="70" t="inlineStr">
        <is>
          <t>Combat</t>
        </is>
      </c>
      <c r="I5" s="70" t="inlineStr">
        <is>
          <t>Acharné</t>
        </is>
      </c>
      <c r="J5" s="70" t="n"/>
      <c r="K5" s="70" t="inlineStr">
        <is>
          <t>Ultime Bastion</t>
        </is>
      </c>
      <c r="L5" s="70" t="inlineStr">
        <is>
          <t>Mégacorne</t>
        </is>
      </c>
      <c r="M5" s="70" t="inlineStr">
        <is>
          <t>Close Combat</t>
        </is>
      </c>
      <c r="N5" s="70" t="inlineStr">
        <is>
          <t>Tête de Fer</t>
        </is>
      </c>
      <c r="O5" s="70" t="inlineStr">
        <is>
          <t>Contre</t>
        </is>
      </c>
      <c r="P5" s="70" t="inlineStr">
        <is>
          <t>Ténacité</t>
        </is>
      </c>
      <c r="Q5" s="70">
        <f>COUNTA(K5:P5)</f>
        <v/>
      </c>
      <c r="R5" s="70" t="n"/>
    </row>
    <row r="6" ht="15" customHeight="1" s="42">
      <c r="A6" s="70" t="inlineStr">
        <is>
          <t>Frère Boule</t>
        </is>
      </c>
      <c r="B6" s="48" t="inlineStr">
        <is>
          <t>Groupe 1 - Famille Raccourci</t>
        </is>
      </c>
      <c r="C6" s="70" t="n">
        <v>5</v>
      </c>
      <c r="D6" s="70" t="n">
        <v>5</v>
      </c>
      <c r="E6" s="70" t="inlineStr">
        <is>
          <t>Qulbutoké</t>
        </is>
      </c>
      <c r="F6" s="70" t="n"/>
      <c r="G6" s="70" t="n"/>
      <c r="H6" s="70" t="inlineStr">
        <is>
          <t>Psy</t>
        </is>
      </c>
      <c r="I6" s="70" t="inlineStr">
        <is>
          <t>Marque Ombre</t>
        </is>
      </c>
      <c r="J6" s="70" t="n"/>
      <c r="K6" s="70" t="inlineStr">
        <is>
          <t>Encore</t>
        </is>
      </c>
      <c r="L6" s="70" t="inlineStr">
        <is>
          <t>Charme</t>
        </is>
      </c>
      <c r="M6" s="70" t="inlineStr">
        <is>
          <t>Prélèvement Destin</t>
        </is>
      </c>
      <c r="N6" s="70" t="inlineStr">
        <is>
          <t>Riposte</t>
        </is>
      </c>
      <c r="O6" s="70" t="inlineStr">
        <is>
          <t>Voile Miroir</t>
        </is>
      </c>
      <c r="P6" s="70" t="inlineStr">
        <is>
          <t>Rune Protect</t>
        </is>
      </c>
      <c r="Q6" s="70">
        <f>COUNTA(K6:P6)</f>
        <v/>
      </c>
      <c r="R6" s="70" t="n"/>
    </row>
    <row r="7" ht="15" customHeight="1" s="42">
      <c r="A7" s="70" t="inlineStr">
        <is>
          <t>Frère Boule</t>
        </is>
      </c>
      <c r="B7" s="48" t="inlineStr">
        <is>
          <t>Groupe 1 - Famille Raccourci</t>
        </is>
      </c>
      <c r="C7" s="70" t="n">
        <v>5</v>
      </c>
      <c r="D7" s="70" t="n">
        <v>6</v>
      </c>
      <c r="E7" s="70" t="inlineStr">
        <is>
          <t>Angoliath × Baggaïd (fusion)</t>
        </is>
      </c>
      <c r="F7" s="70" t="n"/>
      <c r="G7" s="70" t="n"/>
      <c r="H7" s="70" t="inlineStr">
        <is>
          <t>Ténèbres-Combat</t>
        </is>
      </c>
      <c r="I7" s="70" t="inlineStr">
        <is>
          <t>Farceur + Intimidation</t>
        </is>
      </c>
      <c r="J7" s="70" t="n"/>
      <c r="K7" s="70" t="inlineStr">
        <is>
          <t>Coup Bas</t>
        </is>
      </c>
      <c r="L7" s="70" t="inlineStr">
        <is>
          <t>Gonflette</t>
        </is>
      </c>
      <c r="M7" s="70" t="inlineStr">
        <is>
          <t>Choc Émotionnel</t>
        </is>
      </c>
      <c r="N7" s="70" t="inlineStr">
        <is>
          <t>Vampipoing</t>
        </is>
      </c>
      <c r="O7" s="70" t="inlineStr">
        <is>
          <t>Mur Lumière</t>
        </is>
      </c>
      <c r="P7" s="70" t="inlineStr">
        <is>
          <t>Éboulement</t>
        </is>
      </c>
      <c r="Q7" s="70">
        <f>COUNTA(K7:P7)</f>
        <v/>
      </c>
      <c r="R7" s="70" t="n"/>
    </row>
    <row r="8" ht="15" customHeight="1" s="42">
      <c r="A8" s="60" t="inlineStr">
        <is>
          <t>Frère Jack</t>
        </is>
      </c>
      <c r="B8" s="57" t="inlineStr">
        <is>
          <t>Sans groupe (restants)</t>
        </is>
      </c>
      <c r="C8" s="60" t="n">
        <v>5</v>
      </c>
      <c r="D8" s="60" t="n">
        <v>1</v>
      </c>
      <c r="E8" s="60" t="inlineStr">
        <is>
          <t>Drattak × Téraclope (fusion)</t>
        </is>
      </c>
      <c r="F8" s="60" t="n"/>
      <c r="G8" s="60" t="n"/>
      <c r="H8" s="60" t="inlineStr">
        <is>
          <t>Vol-Dragon-Spectre</t>
        </is>
      </c>
      <c r="I8" s="60" t="inlineStr">
        <is>
          <t>Impudence + Fouille</t>
        </is>
      </c>
      <c r="J8" s="60" t="n"/>
      <c r="K8" s="60" t="inlineStr">
        <is>
          <t>Colère</t>
        </is>
      </c>
      <c r="L8" s="60" t="inlineStr">
        <is>
          <t>Déflagration</t>
        </is>
      </c>
      <c r="M8" s="60" t="inlineStr">
        <is>
          <t>Ball'Ombre</t>
        </is>
      </c>
      <c r="N8" s="60" t="inlineStr">
        <is>
          <t>Vampirisme</t>
        </is>
      </c>
      <c r="O8" s="60" t="inlineStr">
        <is>
          <t>Séisme</t>
        </is>
      </c>
      <c r="P8" s="60" t="inlineStr">
        <is>
          <t>Danse Draco</t>
        </is>
      </c>
      <c r="Q8" s="60">
        <f>COUNTA(K8:P8)</f>
        <v/>
      </c>
      <c r="R8" s="60" t="n"/>
    </row>
    <row r="9" ht="15" customHeight="1" s="42">
      <c r="A9" s="60" t="inlineStr">
        <is>
          <t>Frère Jack</t>
        </is>
      </c>
      <c r="B9" s="57" t="inlineStr">
        <is>
          <t>Sans groupe (restants)</t>
        </is>
      </c>
      <c r="C9" s="60" t="n">
        <v>5</v>
      </c>
      <c r="D9" s="60" t="n">
        <v>2</v>
      </c>
      <c r="E9" s="60" t="inlineStr">
        <is>
          <t>Unjoy</t>
        </is>
      </c>
      <c r="F9" s="60" t="n"/>
      <c r="G9" s="60" t="n"/>
      <c r="H9" s="60" t="inlineStr">
        <is>
          <t>Spectre</t>
        </is>
      </c>
      <c r="I9" s="60" t="inlineStr">
        <is>
          <t>Analyste</t>
        </is>
      </c>
      <c r="J9" s="60" t="n"/>
      <c r="K9" s="60" t="inlineStr">
        <is>
          <t>Vœu</t>
        </is>
      </c>
      <c r="L9" s="60" t="inlineStr">
        <is>
          <t>Feu Follet</t>
        </is>
      </c>
      <c r="M9" s="60" t="inlineStr">
        <is>
          <t>Châtiment</t>
        </is>
      </c>
      <c r="N9" s="60" t="inlineStr">
        <is>
          <t>Abri</t>
        </is>
      </c>
      <c r="O9" s="60" t="inlineStr">
        <is>
          <t>Malédiction</t>
        </is>
      </c>
      <c r="P9" s="60" t="inlineStr">
        <is>
          <t>Plénitude</t>
        </is>
      </c>
      <c r="Q9" s="60">
        <f>COUNTA(K9:P9)</f>
        <v/>
      </c>
      <c r="R9" s="60" t="n"/>
    </row>
    <row r="10" ht="15" customHeight="1" s="42">
      <c r="A10" s="60" t="inlineStr">
        <is>
          <t>Frère Jack</t>
        </is>
      </c>
      <c r="B10" s="57" t="inlineStr">
        <is>
          <t>Sans groupe (restants)</t>
        </is>
      </c>
      <c r="C10" s="60" t="n">
        <v>5</v>
      </c>
      <c r="D10" s="60" t="n">
        <v>3</v>
      </c>
      <c r="E10" s="60" t="inlineStr">
        <is>
          <t>Neitram</t>
        </is>
      </c>
      <c r="F10" s="60" t="n"/>
      <c r="G10" s="60" t="n"/>
      <c r="H10" s="60" t="inlineStr">
        <is>
          <t>Psy</t>
        </is>
      </c>
      <c r="I10" s="60" t="inlineStr">
        <is>
          <t>Analyste</t>
        </is>
      </c>
      <c r="J10" s="60" t="n"/>
      <c r="K10" s="60" t="inlineStr">
        <is>
          <t>Prescience</t>
        </is>
      </c>
      <c r="L10" s="60" t="inlineStr">
        <is>
          <t>Soin</t>
        </is>
      </c>
      <c r="M10" s="60" t="inlineStr">
        <is>
          <t>Force Cosmique</t>
        </is>
      </c>
      <c r="N10" s="60" t="inlineStr">
        <is>
          <t>Machination</t>
        </is>
      </c>
      <c r="O10" s="60" t="inlineStr">
        <is>
          <t>Force Ajoutée</t>
        </is>
      </c>
      <c r="P10" s="60" t="inlineStr">
        <is>
          <t>Tonnerre</t>
        </is>
      </c>
      <c r="Q10" s="60">
        <f>COUNTA(K10:P10)</f>
        <v/>
      </c>
      <c r="R10" s="60" t="n"/>
    </row>
    <row r="11" ht="15" customHeight="1" s="42">
      <c r="A11" s="60" t="inlineStr">
        <is>
          <t>Frère Jack</t>
        </is>
      </c>
      <c r="B11" s="57" t="inlineStr">
        <is>
          <t>Sans groupe (restants)</t>
        </is>
      </c>
      <c r="C11" s="60" t="n">
        <v>5</v>
      </c>
      <c r="D11" s="60" t="n">
        <v>4</v>
      </c>
      <c r="E11" s="60" t="inlineStr">
        <is>
          <t>Ossatueur d'Alola</t>
        </is>
      </c>
      <c r="F11" s="60" t="n"/>
      <c r="G11" s="60" t="n"/>
      <c r="H11" s="60" t="inlineStr">
        <is>
          <t>Spectre-Feu</t>
        </is>
      </c>
      <c r="I11" s="60" t="inlineStr">
        <is>
          <t>Paratonnerre</t>
        </is>
      </c>
      <c r="J11" s="60" t="n"/>
      <c r="K11" s="60" t="inlineStr">
        <is>
          <t>Os Ombre</t>
        </is>
      </c>
      <c r="L11" s="60" t="inlineStr">
        <is>
          <t>Boutefeu</t>
        </is>
      </c>
      <c r="M11" s="60" t="inlineStr">
        <is>
          <t>Danse Lames</t>
        </is>
      </c>
      <c r="N11" s="60" t="inlineStr">
        <is>
          <t>Osmerang</t>
        </is>
      </c>
      <c r="O11" s="60" t="inlineStr">
        <is>
          <t>Casse-Brique</t>
        </is>
      </c>
      <c r="P11" s="60" t="inlineStr">
        <is>
          <t>Requiem</t>
        </is>
      </c>
      <c r="Q11" s="60">
        <f>COUNTA(K11:P11)</f>
        <v/>
      </c>
      <c r="R11" s="60" t="n"/>
    </row>
    <row r="12" ht="15" customHeight="1" s="42">
      <c r="A12" s="60" t="inlineStr">
        <is>
          <t>Frère Jack</t>
        </is>
      </c>
      <c r="B12" s="57" t="inlineStr">
        <is>
          <t>Sans groupe (restants)</t>
        </is>
      </c>
      <c r="C12" s="60" t="n">
        <v>5</v>
      </c>
      <c r="D12" s="60" t="n">
        <v>5</v>
      </c>
      <c r="E12" s="60" t="inlineStr">
        <is>
          <t>Tutétékri</t>
        </is>
      </c>
      <c r="F12" s="60" t="n"/>
      <c r="G12" s="60" t="n"/>
      <c r="H12" s="60" t="inlineStr">
        <is>
          <t>Spectre-Sol</t>
        </is>
      </c>
      <c r="I12" s="60" t="inlineStr">
        <is>
          <t>Âme Vagabonde</t>
        </is>
      </c>
      <c r="J12" s="60" t="n"/>
      <c r="K12" s="60" t="inlineStr">
        <is>
          <t>Prélèvement Destin</t>
        </is>
      </c>
      <c r="L12" s="60" t="inlineStr">
        <is>
          <t>Abri</t>
        </is>
      </c>
      <c r="M12" s="60" t="inlineStr">
        <is>
          <t>Regard Noir</t>
        </is>
      </c>
      <c r="N12" s="60" t="inlineStr">
        <is>
          <t>Ball'Ombre</t>
        </is>
      </c>
      <c r="O12" s="60" t="inlineStr">
        <is>
          <t>Telluriforce</t>
        </is>
      </c>
      <c r="P12" s="60" t="inlineStr">
        <is>
          <t>Feu Follet</t>
        </is>
      </c>
      <c r="Q12" s="60">
        <f>COUNTA(K12:P12)</f>
        <v/>
      </c>
      <c r="R12" s="60" t="n"/>
    </row>
    <row r="13" ht="15" customHeight="1" s="42">
      <c r="A13" s="60" t="inlineStr">
        <is>
          <t>Frère Jack</t>
        </is>
      </c>
      <c r="B13" s="57" t="inlineStr">
        <is>
          <t>Sans groupe (restants)</t>
        </is>
      </c>
      <c r="C13" s="60" t="n">
        <v>5</v>
      </c>
      <c r="D13" s="60" t="n">
        <v>6</v>
      </c>
      <c r="E13" s="60" t="inlineStr">
        <is>
          <t>Sharpédo</t>
        </is>
      </c>
      <c r="F13" s="60" t="n"/>
      <c r="G13" s="60" t="n"/>
      <c r="H13" s="60" t="inlineStr">
        <is>
          <t>Ténèbres-Eau</t>
        </is>
      </c>
      <c r="I13" s="60" t="inlineStr">
        <is>
          <t>Turbo</t>
        </is>
      </c>
      <c r="J13" s="60" t="n"/>
      <c r="K13" s="60" t="inlineStr">
        <is>
          <t>Mâchouille</t>
        </is>
      </c>
      <c r="L13" s="60" t="inlineStr">
        <is>
          <t>Aqua-Brèche</t>
        </is>
      </c>
      <c r="M13" s="60" t="inlineStr">
        <is>
          <t>Ténacité</t>
        </is>
      </c>
      <c r="N13" s="60" t="inlineStr">
        <is>
          <t>Eau Revoir</t>
        </is>
      </c>
      <c r="O13" s="60" t="inlineStr">
        <is>
          <t>Psycho-Croc</t>
        </is>
      </c>
      <c r="P13" s="60" t="inlineStr">
        <is>
          <t>Close Combat</t>
        </is>
      </c>
      <c r="Q13" s="60">
        <f>COUNTA(K13:P13)</f>
        <v/>
      </c>
      <c r="R13" s="60" t="n"/>
    </row>
    <row r="14" ht="15" customHeight="1" s="42">
      <c r="A14" s="70" t="inlineStr">
        <is>
          <t>Frère Pierrot</t>
        </is>
      </c>
      <c r="B14" s="57" t="inlineStr">
        <is>
          <t>Sans groupe (restants)</t>
        </is>
      </c>
      <c r="C14" s="70" t="n">
        <v>5</v>
      </c>
      <c r="D14" s="70" t="n">
        <v>1</v>
      </c>
      <c r="E14" s="70" t="inlineStr">
        <is>
          <t>Mimidrive (fusion Mimiqui × Grodrive)</t>
        </is>
      </c>
      <c r="F14" s="70" t="n"/>
      <c r="G14" s="70" t="n"/>
      <c r="H14" s="70" t="inlineStr">
        <is>
          <t>Spectre-Vol-Fée</t>
        </is>
      </c>
      <c r="I14" s="70" t="inlineStr">
        <is>
          <t>Boom Final + Fantômasque</t>
        </is>
      </c>
      <c r="J14" s="70" t="n"/>
      <c r="K14" s="70" t="inlineStr">
        <is>
          <t>Revenant</t>
        </is>
      </c>
      <c r="L14" s="70" t="inlineStr">
        <is>
          <t>Ombre Portée</t>
        </is>
      </c>
      <c r="M14" s="70" t="inlineStr">
        <is>
          <t>Câlinerie</t>
        </is>
      </c>
      <c r="N14" s="70" t="inlineStr">
        <is>
          <t>Destruction</t>
        </is>
      </c>
      <c r="O14" s="70" t="inlineStr">
        <is>
          <t>Vol</t>
        </is>
      </c>
      <c r="P14" s="70" t="inlineStr">
        <is>
          <t>Danse Lames</t>
        </is>
      </c>
      <c r="Q14" s="70">
        <f>COUNTA(K14:P14)</f>
        <v/>
      </c>
      <c r="R14" s="70" t="n"/>
    </row>
    <row r="15" ht="15" customHeight="1" s="42">
      <c r="A15" s="70" t="inlineStr">
        <is>
          <t>Frère Pierrot</t>
        </is>
      </c>
      <c r="B15" s="57" t="inlineStr">
        <is>
          <t>Sans groupe (restants)</t>
        </is>
      </c>
      <c r="C15" s="70" t="n">
        <v>5</v>
      </c>
      <c r="D15" s="70" t="n">
        <v>2</v>
      </c>
      <c r="E15" s="70" t="inlineStr">
        <is>
          <t>Noctunoir</t>
        </is>
      </c>
      <c r="F15" s="70" t="n"/>
      <c r="G15" s="70" t="n"/>
      <c r="H15" s="70" t="inlineStr">
        <is>
          <t>Spectre</t>
        </is>
      </c>
      <c r="I15" s="70" t="inlineStr">
        <is>
          <t>Pression</t>
        </is>
      </c>
      <c r="J15" s="70" t="n"/>
      <c r="K15" s="70" t="inlineStr">
        <is>
          <t>Poing Ombre</t>
        </is>
      </c>
      <c r="L15" s="70" t="inlineStr">
        <is>
          <t>Regard Noir</t>
        </is>
      </c>
      <c r="M15" s="70" t="inlineStr">
        <is>
          <t>Malédiction</t>
        </is>
      </c>
      <c r="N15" s="70" t="inlineStr">
        <is>
          <t>Feu Follet</t>
        </is>
      </c>
      <c r="O15" s="70" t="inlineStr">
        <is>
          <t>Poing Glace</t>
        </is>
      </c>
      <c r="P15" s="70" t="inlineStr">
        <is>
          <t>Séisme</t>
        </is>
      </c>
      <c r="Q15" s="70">
        <f>COUNTA(K15:P15)</f>
        <v/>
      </c>
      <c r="R15" s="70" t="n"/>
    </row>
    <row r="16" ht="15" customHeight="1" s="42">
      <c r="A16" s="70" t="inlineStr">
        <is>
          <t>Frère Pierrot</t>
        </is>
      </c>
      <c r="B16" s="57" t="inlineStr">
        <is>
          <t>Sans groupe (restants)</t>
        </is>
      </c>
      <c r="C16" s="70" t="n">
        <v>5</v>
      </c>
      <c r="D16" s="70" t="n">
        <v>3</v>
      </c>
      <c r="E16" s="70" t="inlineStr">
        <is>
          <t>M. Mime</t>
        </is>
      </c>
      <c r="F16" s="70" t="n"/>
      <c r="G16" s="70" t="n"/>
      <c r="H16" s="70" t="inlineStr">
        <is>
          <t>Psy-Fée</t>
        </is>
      </c>
      <c r="I16" s="70" t="inlineStr">
        <is>
          <t>Anti-Bruit</t>
        </is>
      </c>
      <c r="J16" s="70" t="n"/>
      <c r="K16" s="70" t="inlineStr">
        <is>
          <t>Choc Mental</t>
        </is>
      </c>
      <c r="L16" s="70" t="inlineStr">
        <is>
          <t>Mur Lumière</t>
        </is>
      </c>
      <c r="M16" s="70" t="inlineStr">
        <is>
          <t>Éclat Magique</t>
        </is>
      </c>
      <c r="N16" s="70" t="inlineStr">
        <is>
          <t>Mur de Fer</t>
        </is>
      </c>
      <c r="O16" s="70" t="inlineStr">
        <is>
          <t>Psyko</t>
        </is>
      </c>
      <c r="P16" s="70" t="inlineStr">
        <is>
          <t>Encore</t>
        </is>
      </c>
      <c r="Q16" s="70">
        <f>COUNTA(K16:P16)</f>
        <v/>
      </c>
      <c r="R16" s="70" t="n"/>
    </row>
    <row r="17" ht="15" customHeight="1" s="42">
      <c r="A17" s="70" t="inlineStr">
        <is>
          <t>Frère Pierrot</t>
        </is>
      </c>
      <c r="B17" s="57" t="inlineStr">
        <is>
          <t>Sans groupe (restants)</t>
        </is>
      </c>
      <c r="C17" s="70" t="n">
        <v>5</v>
      </c>
      <c r="D17" s="70" t="n">
        <v>4</v>
      </c>
      <c r="E17" s="70" t="inlineStr">
        <is>
          <t>Excelangue</t>
        </is>
      </c>
      <c r="F17" s="70" t="n"/>
      <c r="G17" s="70" t="n"/>
      <c r="H17" s="70" t="inlineStr">
        <is>
          <t>Normal</t>
        </is>
      </c>
      <c r="I17" s="70" t="inlineStr">
        <is>
          <t>Tempo Perso</t>
        </is>
      </c>
      <c r="J17" s="70" t="n"/>
      <c r="K17" s="70" t="inlineStr">
        <is>
          <t>Léchouille</t>
        </is>
      </c>
      <c r="L17" s="70" t="inlineStr">
        <is>
          <t>Roulade</t>
        </is>
      </c>
      <c r="M17" s="70" t="inlineStr">
        <is>
          <t>Ligotage</t>
        </is>
      </c>
      <c r="N17" s="70" t="inlineStr">
        <is>
          <t>Plaquage</t>
        </is>
      </c>
      <c r="O17" s="70" t="inlineStr">
        <is>
          <t>Surf</t>
        </is>
      </c>
      <c r="P17" s="70" t="inlineStr">
        <is>
          <t>Mégafouet</t>
        </is>
      </c>
      <c r="Q17" s="70">
        <f>COUNTA(K17:P17)</f>
        <v/>
      </c>
      <c r="R17" s="70" t="n"/>
    </row>
    <row r="18" ht="15" customHeight="1" s="42">
      <c r="A18" s="70" t="inlineStr">
        <is>
          <t>Frère Pierrot</t>
        </is>
      </c>
      <c r="B18" s="57" t="inlineStr">
        <is>
          <t>Sans groupe (restants)</t>
        </is>
      </c>
      <c r="C18" s="70" t="n">
        <v>5</v>
      </c>
      <c r="D18" s="70" t="n">
        <v>5</v>
      </c>
      <c r="E18" s="70" t="inlineStr">
        <is>
          <t>Migalos</t>
        </is>
      </c>
      <c r="F18" s="70" t="n"/>
      <c r="G18" s="70" t="n"/>
      <c r="H18" s="70" t="inlineStr">
        <is>
          <t>Insecte-Poison</t>
        </is>
      </c>
      <c r="I18" s="70" t="inlineStr">
        <is>
          <t>Insomnia</t>
        </is>
      </c>
      <c r="J18" s="70" t="n"/>
      <c r="K18" s="70" t="inlineStr">
        <is>
          <t>Toile Gluante</t>
        </is>
      </c>
      <c r="L18" s="70" t="inlineStr">
        <is>
          <t>Direct Toxik</t>
        </is>
      </c>
      <c r="M18" s="70" t="inlineStr">
        <is>
          <t>Vampirisme</t>
        </is>
      </c>
      <c r="N18" s="70" t="inlineStr">
        <is>
          <t>Fil Toxique</t>
        </is>
      </c>
      <c r="O18" s="70" t="inlineStr">
        <is>
          <t>Mégacorne</t>
        </is>
      </c>
      <c r="P18" s="70" t="inlineStr">
        <is>
          <t>Coup Bas</t>
        </is>
      </c>
      <c r="Q18" s="70">
        <f>COUNTA(K18:P18)</f>
        <v/>
      </c>
      <c r="R18" s="70" t="n"/>
    </row>
    <row r="19" ht="15" customHeight="1" s="42">
      <c r="A19" s="70" t="inlineStr">
        <is>
          <t>Frère Pierrot</t>
        </is>
      </c>
      <c r="B19" s="57" t="inlineStr">
        <is>
          <t>Sans groupe (restants)</t>
        </is>
      </c>
      <c r="C19" s="70" t="n">
        <v>5</v>
      </c>
      <c r="D19" s="70" t="n">
        <v>6</v>
      </c>
      <c r="E19" s="70" t="inlineStr">
        <is>
          <t>Empiflor</t>
        </is>
      </c>
      <c r="F19" s="70" t="n"/>
      <c r="G19" s="70" t="n"/>
      <c r="H19" s="70" t="inlineStr">
        <is>
          <t>Plante-Poison</t>
        </is>
      </c>
      <c r="I19" s="70" t="inlineStr">
        <is>
          <t>Chlorophylle</t>
        </is>
      </c>
      <c r="J19" s="70" t="n"/>
      <c r="K19" s="70" t="inlineStr">
        <is>
          <t>Lame Feuille</t>
        </is>
      </c>
      <c r="L19" s="70" t="inlineStr">
        <is>
          <t>Mégafouet</t>
        </is>
      </c>
      <c r="M19" s="70" t="inlineStr">
        <is>
          <t>Poudre Dodo</t>
        </is>
      </c>
      <c r="N19" s="70" t="inlineStr">
        <is>
          <t>Suc Digestif</t>
        </is>
      </c>
      <c r="O19" s="70" t="inlineStr">
        <is>
          <t>Bombe Beurk</t>
        </is>
      </c>
      <c r="P19" s="70" t="inlineStr">
        <is>
          <t>Danse Lames</t>
        </is>
      </c>
      <c r="Q19" s="70">
        <f>COUNTA(K19:P19)</f>
        <v/>
      </c>
      <c r="R19" s="70" t="n"/>
    </row>
    <row r="20" ht="15" customHeight="1" s="42">
      <c r="A20" s="60" t="inlineStr">
        <is>
          <t>Frère Rapace</t>
        </is>
      </c>
      <c r="B20" s="55" t="inlineStr">
        <is>
          <t>Groupe 3</t>
        </is>
      </c>
      <c r="C20" s="60" t="n">
        <v>5</v>
      </c>
      <c r="D20" s="60" t="n">
        <v>1</v>
      </c>
      <c r="E20" s="60" t="inlineStr">
        <is>
          <t>Ténéfix</t>
        </is>
      </c>
      <c r="F20" s="60" t="n"/>
      <c r="G20" s="60" t="n"/>
      <c r="H20" s="72" t="inlineStr">
        <is>
          <t>Ténèbres-Spectre</t>
        </is>
      </c>
      <c r="I20" s="60" t="inlineStr">
        <is>
          <t>Farceur</t>
        </is>
      </c>
      <c r="J20" s="60" t="n"/>
      <c r="K20" s="60" t="inlineStr">
        <is>
          <t>Larcin</t>
        </is>
      </c>
      <c r="L20" s="60" t="inlineStr">
        <is>
          <t>Bluff</t>
        </is>
      </c>
      <c r="M20" s="60" t="inlineStr">
        <is>
          <t>Hantise</t>
        </is>
      </c>
      <c r="N20" s="60" t="inlineStr">
        <is>
          <t>Dernier Mot</t>
        </is>
      </c>
      <c r="O20" s="60" t="inlineStr">
        <is>
          <t>Feu Follet</t>
        </is>
      </c>
      <c r="P20" s="60" t="n"/>
      <c r="Q20" s="60">
        <f>COUNTA(K20:P20)</f>
        <v/>
      </c>
      <c r="R20" s="60" t="n"/>
    </row>
    <row r="21" ht="15" customHeight="1" s="42">
      <c r="A21" s="60" t="inlineStr">
        <is>
          <t>Frère Rapace</t>
        </is>
      </c>
      <c r="B21" s="55" t="inlineStr">
        <is>
          <t>Groupe 3</t>
        </is>
      </c>
      <c r="C21" s="60" t="n">
        <v>5</v>
      </c>
      <c r="D21" s="60" t="n">
        <v>2</v>
      </c>
      <c r="E21" s="60" t="inlineStr">
        <is>
          <t>Rapasdepic × Spiritomb (fusion)</t>
        </is>
      </c>
      <c r="F21" s="60" t="n"/>
      <c r="G21" s="60" t="n"/>
      <c r="H21" s="60" t="inlineStr">
        <is>
          <t>Vol-Ténèbres</t>
        </is>
      </c>
      <c r="I21" s="60" t="inlineStr">
        <is>
          <t>Sniper</t>
        </is>
      </c>
      <c r="J21" s="60" t="n"/>
      <c r="K21" s="60" t="inlineStr">
        <is>
          <t>Puissance</t>
        </is>
      </c>
      <c r="L21" s="60" t="inlineStr">
        <is>
          <t>Aéropique</t>
        </is>
      </c>
      <c r="M21" s="60" t="inlineStr">
        <is>
          <t>Ailes d'Acier</t>
        </is>
      </c>
      <c r="N21" s="60" t="inlineStr">
        <is>
          <t>Représailles</t>
        </is>
      </c>
      <c r="O21" s="60" t="inlineStr">
        <is>
          <t>Tricherie</t>
        </is>
      </c>
      <c r="P21" s="60" t="inlineStr">
        <is>
          <t>Cent Rancunes</t>
        </is>
      </c>
      <c r="Q21" s="60">
        <f>COUNTA(K21:P21)</f>
        <v/>
      </c>
      <c r="R21" s="60" t="n"/>
    </row>
    <row r="22" ht="15" customHeight="1" s="42">
      <c r="A22" s="60" t="inlineStr">
        <is>
          <t>Frère Rapace</t>
        </is>
      </c>
      <c r="B22" s="55" t="inlineStr">
        <is>
          <t>Groupe 3</t>
        </is>
      </c>
      <c r="C22" s="60" t="n">
        <v>5</v>
      </c>
      <c r="D22" s="60" t="n">
        <v>3</v>
      </c>
      <c r="E22" s="60" t="inlineStr">
        <is>
          <t>Grodrive</t>
        </is>
      </c>
      <c r="F22" s="60" t="n"/>
      <c r="G22" s="60" t="n"/>
      <c r="H22" s="72" t="inlineStr">
        <is>
          <t>Spectre-Vol</t>
        </is>
      </c>
      <c r="I22" s="60" t="inlineStr">
        <is>
          <t>Boom Final</t>
        </is>
      </c>
      <c r="J22" s="60" t="n"/>
      <c r="K22" s="60" t="inlineStr">
        <is>
          <t>Ball'Ombre</t>
        </is>
      </c>
      <c r="L22" s="60" t="inlineStr">
        <is>
          <t>Feu Ensorcelé</t>
        </is>
      </c>
      <c r="M22" s="60" t="inlineStr">
        <is>
          <t>Stockage</t>
        </is>
      </c>
      <c r="N22" s="60" t="inlineStr">
        <is>
          <t>Relâche</t>
        </is>
      </c>
      <c r="O22" s="60" t="inlineStr">
        <is>
          <t>Tonnerre</t>
        </is>
      </c>
      <c r="P22" s="60" t="n"/>
      <c r="Q22" s="60">
        <f>COUNTA(K22:P22)</f>
        <v/>
      </c>
      <c r="R22" s="60" t="n"/>
    </row>
    <row r="23" ht="15" customHeight="1" s="42">
      <c r="A23" s="60" t="inlineStr">
        <is>
          <t>Frère Rapace</t>
        </is>
      </c>
      <c r="B23" s="55" t="inlineStr">
        <is>
          <t>Groupe 3</t>
        </is>
      </c>
      <c r="C23" s="60" t="n">
        <v>5</v>
      </c>
      <c r="D23" s="60" t="n">
        <v>4</v>
      </c>
      <c r="E23" s="60" t="inlineStr">
        <is>
          <t>Ymphect</t>
        </is>
      </c>
      <c r="F23" s="60" t="n"/>
      <c r="G23" s="60" t="n"/>
      <c r="H23" s="72" t="inlineStr">
        <is>
          <t>Roche-Sol</t>
        </is>
      </c>
      <c r="I23" s="60" t="inlineStr">
        <is>
          <t>Mue</t>
        </is>
      </c>
      <c r="J23" s="60" t="n"/>
      <c r="K23" s="60" t="inlineStr">
        <is>
          <t>Tempête de Sable</t>
        </is>
      </c>
      <c r="L23" s="60" t="inlineStr">
        <is>
          <t>Séisme</t>
        </is>
      </c>
      <c r="M23" s="60" t="inlineStr">
        <is>
          <t>Lame de Roc</t>
        </is>
      </c>
      <c r="N23" s="60" t="inlineStr">
        <is>
          <t>Grincement</t>
        </is>
      </c>
      <c r="O23" s="60" t="inlineStr">
        <is>
          <t>Pouvoir Antique</t>
        </is>
      </c>
      <c r="P23" s="60" t="n"/>
      <c r="Q23" s="60">
        <f>COUNTA(K23:P23)</f>
        <v/>
      </c>
      <c r="R23" s="60" t="n"/>
    </row>
    <row r="24" ht="15" customHeight="1" s="42">
      <c r="A24" s="60" t="inlineStr">
        <is>
          <t>Frère Rapace</t>
        </is>
      </c>
      <c r="B24" s="55" t="inlineStr">
        <is>
          <t>Groupe 3</t>
        </is>
      </c>
      <c r="C24" s="60" t="n">
        <v>5</v>
      </c>
      <c r="D24" s="60" t="n">
        <v>5</v>
      </c>
      <c r="E24" s="60" t="inlineStr">
        <is>
          <t>Crustabri</t>
        </is>
      </c>
      <c r="F24" s="60" t="n"/>
      <c r="G24" s="60" t="n"/>
      <c r="H24" s="72" t="inlineStr">
        <is>
          <t>Eau-Glace</t>
        </is>
      </c>
      <c r="I24" s="60" t="inlineStr">
        <is>
          <t>Multi-Coups</t>
        </is>
      </c>
      <c r="J24" s="60" t="n"/>
      <c r="K24" s="60" t="inlineStr">
        <is>
          <t>Chute Glace</t>
        </is>
      </c>
      <c r="L24" s="60" t="inlineStr">
        <is>
          <t>Coqui-Lame</t>
        </is>
      </c>
      <c r="M24" s="60" t="inlineStr">
        <is>
          <t>Stalactite</t>
        </is>
      </c>
      <c r="N24" s="60" t="inlineStr">
        <is>
          <t>Boule-Roc</t>
        </is>
      </c>
      <c r="O24" s="60" t="inlineStr">
        <is>
          <t>Saumure</t>
        </is>
      </c>
      <c r="P24" s="60" t="n"/>
      <c r="Q24" s="60">
        <f>COUNTA(K24:P24)</f>
        <v/>
      </c>
      <c r="R24" s="60" t="n"/>
    </row>
    <row r="25" ht="15" customHeight="1" s="42">
      <c r="A25" s="60" t="inlineStr">
        <is>
          <t>Frère Rapace</t>
        </is>
      </c>
      <c r="B25" s="55" t="inlineStr">
        <is>
          <t>Groupe 3</t>
        </is>
      </c>
      <c r="C25" s="60" t="n">
        <v>5</v>
      </c>
      <c r="D25" s="60" t="n">
        <v>6</v>
      </c>
      <c r="E25" s="60" t="inlineStr">
        <is>
          <t>Mackogneur</t>
        </is>
      </c>
      <c r="F25" s="60" t="n"/>
      <c r="G25" s="60" t="n"/>
      <c r="H25" s="72" t="inlineStr">
        <is>
          <t>Combat</t>
        </is>
      </c>
      <c r="I25" s="60" t="inlineStr">
        <is>
          <t>Annule Garde</t>
        </is>
      </c>
      <c r="J25" s="60" t="n"/>
      <c r="K25" s="60" t="inlineStr">
        <is>
          <t>Escalade</t>
        </is>
      </c>
      <c r="L25" s="60" t="inlineStr">
        <is>
          <t>Dynamopoing</t>
        </is>
      </c>
      <c r="M25" s="60" t="inlineStr">
        <is>
          <t>Gonflette</t>
        </is>
      </c>
      <c r="N25" s="60" t="inlineStr">
        <is>
          <t>Éclate-Roc</t>
        </is>
      </c>
      <c r="O25" s="60" t="inlineStr">
        <is>
          <t>Vampi-Poing</t>
        </is>
      </c>
      <c r="P25" s="60" t="inlineStr">
        <is>
          <t>Ultimawashi</t>
        </is>
      </c>
      <c r="Q25" s="60">
        <f>COUNTA(K25:P25)</f>
        <v/>
      </c>
      <c r="R25" s="60" t="n"/>
    </row>
    <row r="26" ht="15" customHeight="1" s="42">
      <c r="A26" s="70" t="inlineStr">
        <is>
          <t>Frère Dictateur</t>
        </is>
      </c>
      <c r="B26" s="53" t="inlineStr">
        <is>
          <t>Groupe 4</t>
        </is>
      </c>
      <c r="C26" s="70" t="n">
        <v>4</v>
      </c>
      <c r="D26" s="70" t="n">
        <v>1</v>
      </c>
      <c r="E26" s="70" t="inlineStr">
        <is>
          <t>Dimoret</t>
        </is>
      </c>
      <c r="F26" s="70" t="n"/>
      <c r="G26" s="70" t="n"/>
      <c r="H26" s="70" t="inlineStr">
        <is>
          <t>Ténèbres-Glace</t>
        </is>
      </c>
      <c r="I26" s="70" t="inlineStr">
        <is>
          <t>Pickpocket</t>
        </is>
      </c>
      <c r="J26" s="70" t="n"/>
      <c r="K26" s="70" t="inlineStr">
        <is>
          <t>Éclats Glace</t>
        </is>
      </c>
      <c r="L26" s="70" t="inlineStr">
        <is>
          <t>Tranche-Nuit</t>
        </is>
      </c>
      <c r="M26" s="70" t="inlineStr">
        <is>
          <t>Chute Glace</t>
        </is>
      </c>
      <c r="N26" s="70" t="inlineStr">
        <is>
          <t>Danse Lames</t>
        </is>
      </c>
      <c r="O26" s="70" t="inlineStr">
        <is>
          <t>Poing Glace</t>
        </is>
      </c>
      <c r="P26" s="70" t="inlineStr">
        <is>
          <t>Casse-Brique</t>
        </is>
      </c>
      <c r="Q26" s="70">
        <f>COUNTA(K26:P26)</f>
        <v/>
      </c>
      <c r="R26" s="70" t="n"/>
    </row>
    <row r="27" ht="15" customHeight="1" s="42">
      <c r="A27" s="70" t="inlineStr">
        <is>
          <t>Frère Dictateur</t>
        </is>
      </c>
      <c r="B27" s="53" t="inlineStr">
        <is>
          <t>Groupe 4</t>
        </is>
      </c>
      <c r="C27" s="70" t="n">
        <v>4</v>
      </c>
      <c r="D27" s="70" t="n">
        <v>2</v>
      </c>
      <c r="E27" s="70" t="inlineStr">
        <is>
          <t>Zoroark</t>
        </is>
      </c>
      <c r="F27" s="70" t="n"/>
      <c r="G27" s="70" t="n"/>
      <c r="H27" s="70" t="inlineStr">
        <is>
          <t>Ténèbres</t>
        </is>
      </c>
      <c r="I27" s="70" t="inlineStr">
        <is>
          <t>Illusion</t>
        </is>
      </c>
      <c r="J27" s="70" t="n"/>
      <c r="K27" s="70" t="inlineStr">
        <is>
          <t>Explonuit</t>
        </is>
      </c>
      <c r="L27" s="70" t="inlineStr">
        <is>
          <t>Tricherie</t>
        </is>
      </c>
      <c r="M27" s="70" t="inlineStr">
        <is>
          <t>Machination</t>
        </is>
      </c>
      <c r="N27" s="70" t="inlineStr">
        <is>
          <t>Lance-Flammes</t>
        </is>
      </c>
      <c r="O27" s="70" t="inlineStr">
        <is>
          <t>Exploforce</t>
        </is>
      </c>
      <c r="P27" s="70" t="inlineStr">
        <is>
          <t>Demi-Tour</t>
        </is>
      </c>
      <c r="Q27" s="70">
        <f>COUNTA(K27:P27)</f>
        <v/>
      </c>
      <c r="R27" s="70" t="n"/>
    </row>
    <row r="28" ht="15" customHeight="1" s="42">
      <c r="A28" s="70" t="inlineStr">
        <is>
          <t>Frère Dictateur</t>
        </is>
      </c>
      <c r="B28" s="53" t="inlineStr">
        <is>
          <t>Groupe 4</t>
        </is>
      </c>
      <c r="C28" s="70" t="n">
        <v>4</v>
      </c>
      <c r="D28" s="70" t="n">
        <v>3</v>
      </c>
      <c r="E28" s="70" t="inlineStr">
        <is>
          <t>Cizayox</t>
        </is>
      </c>
      <c r="F28" s="70" t="n"/>
      <c r="G28" s="70" t="n"/>
      <c r="H28" s="70" t="inlineStr">
        <is>
          <t>Insecte-Acier</t>
        </is>
      </c>
      <c r="I28" s="70" t="inlineStr">
        <is>
          <t>Technicien</t>
        </is>
      </c>
      <c r="J28" s="70" t="n"/>
      <c r="K28" s="70" t="inlineStr">
        <is>
          <t>Pisto-Poing</t>
        </is>
      </c>
      <c r="L28" s="70" t="inlineStr">
        <is>
          <t>Plaie Croix</t>
        </is>
      </c>
      <c r="M28" s="70" t="inlineStr">
        <is>
          <t>Tête de Fer</t>
        </is>
      </c>
      <c r="N28" s="70" t="inlineStr">
        <is>
          <t>Danse Lames</t>
        </is>
      </c>
      <c r="O28" s="70" t="inlineStr">
        <is>
          <t>Demi-Tour</t>
        </is>
      </c>
      <c r="P28" s="70" t="inlineStr">
        <is>
          <t>Casse-Brique</t>
        </is>
      </c>
      <c r="Q28" s="70">
        <f>COUNTA(K28:P28)</f>
        <v/>
      </c>
      <c r="R28" s="70" t="n"/>
    </row>
    <row r="29" ht="15" customHeight="1" s="42">
      <c r="A29" s="70" t="inlineStr">
        <is>
          <t>Frère Dictateur</t>
        </is>
      </c>
      <c r="B29" s="53" t="inlineStr">
        <is>
          <t>Groupe 4</t>
        </is>
      </c>
      <c r="C29" s="70" t="n">
        <v>4</v>
      </c>
      <c r="D29" s="70" t="n">
        <v>4</v>
      </c>
      <c r="E29" s="70" t="inlineStr">
        <is>
          <t>Étouraptor</t>
        </is>
      </c>
      <c r="F29" s="70" t="n"/>
      <c r="G29" s="70" t="n"/>
      <c r="H29" s="70" t="inlineStr">
        <is>
          <t>Normal-Vol</t>
        </is>
      </c>
      <c r="I29" s="70" t="inlineStr">
        <is>
          <t>Intimidation</t>
        </is>
      </c>
      <c r="J29" s="70" t="n"/>
      <c r="K29" s="70" t="inlineStr">
        <is>
          <t>Rapace</t>
        </is>
      </c>
      <c r="L29" s="70" t="inlineStr">
        <is>
          <t>Close Combat</t>
        </is>
      </c>
      <c r="M29" s="70" t="inlineStr">
        <is>
          <t>Vive-Attaque</t>
        </is>
      </c>
      <c r="N29" s="70" t="inlineStr">
        <is>
          <t>Demi-Tour</t>
        </is>
      </c>
      <c r="O29" s="70" t="inlineStr">
        <is>
          <t>Vol</t>
        </is>
      </c>
      <c r="P29" s="70" t="inlineStr">
        <is>
          <t>Atterrissage</t>
        </is>
      </c>
      <c r="Q29" s="70">
        <f>COUNTA(K29:P29)</f>
        <v/>
      </c>
      <c r="R29" s="70" t="n"/>
    </row>
    <row r="30" ht="15" customHeight="1" s="42">
      <c r="A30" s="70" t="inlineStr">
        <is>
          <t>Frère Dictateur</t>
        </is>
      </c>
      <c r="B30" s="53" t="inlineStr">
        <is>
          <t>Groupe 4</t>
        </is>
      </c>
      <c r="C30" s="70" t="n">
        <v>4</v>
      </c>
      <c r="D30" s="70" t="n">
        <v>5</v>
      </c>
      <c r="E30" s="70" t="inlineStr">
        <is>
          <t>Persian d'Alola</t>
        </is>
      </c>
      <c r="F30" s="70" t="n"/>
      <c r="G30" s="70" t="n"/>
      <c r="H30" s="70" t="inlineStr">
        <is>
          <t>Ténèbres</t>
        </is>
      </c>
      <c r="I30" s="70" t="inlineStr">
        <is>
          <t>Toison Épaisse</t>
        </is>
      </c>
      <c r="J30" s="70" t="n"/>
      <c r="K30" s="70" t="inlineStr">
        <is>
          <t>Vibrobscur</t>
        </is>
      </c>
      <c r="L30" s="70" t="inlineStr">
        <is>
          <t>Rayon Gemme</t>
        </is>
      </c>
      <c r="M30" s="70" t="inlineStr">
        <is>
          <t>Bluff</t>
        </is>
      </c>
      <c r="N30" s="70" t="inlineStr">
        <is>
          <t>Machination</t>
        </is>
      </c>
      <c r="O30" s="70" t="inlineStr">
        <is>
          <t>Tricherie</t>
        </is>
      </c>
      <c r="P30" s="70" t="inlineStr">
        <is>
          <t>Dernier Mot</t>
        </is>
      </c>
      <c r="Q30" s="70">
        <f>COUNTA(K30:P30)</f>
        <v/>
      </c>
      <c r="R30" s="70" t="n"/>
    </row>
    <row r="31" ht="15" customHeight="1" s="42">
      <c r="A31" s="70" t="inlineStr">
        <is>
          <t>Frère Dictateur</t>
        </is>
      </c>
      <c r="B31" s="53" t="inlineStr">
        <is>
          <t>Groupe 4</t>
        </is>
      </c>
      <c r="C31" s="70" t="n">
        <v>4</v>
      </c>
      <c r="D31" s="70" t="n">
        <v>6</v>
      </c>
      <c r="E31" s="70" t="inlineStr">
        <is>
          <t>Flambusard</t>
        </is>
      </c>
      <c r="F31" s="70" t="n"/>
      <c r="G31" s="70" t="n"/>
      <c r="H31" s="70" t="inlineStr">
        <is>
          <t>Feu-Vol</t>
        </is>
      </c>
      <c r="I31" s="70" t="inlineStr">
        <is>
          <t>Ailes Bourrasque</t>
        </is>
      </c>
      <c r="J31" s="70" t="n"/>
      <c r="K31" s="70" t="inlineStr">
        <is>
          <t>Rapace</t>
        </is>
      </c>
      <c r="L31" s="70" t="inlineStr">
        <is>
          <t>Boutefeu</t>
        </is>
      </c>
      <c r="M31" s="70" t="inlineStr">
        <is>
          <t>Vive-Attaque</t>
        </is>
      </c>
      <c r="N31" s="70" t="inlineStr">
        <is>
          <t>Nitrocharge</t>
        </is>
      </c>
      <c r="O31" s="70" t="inlineStr">
        <is>
          <t>Danse Lames</t>
        </is>
      </c>
      <c r="P31" s="70" t="inlineStr">
        <is>
          <t>Atterrissage</t>
        </is>
      </c>
      <c r="Q31" s="70">
        <f>COUNTA(K31:P31)</f>
        <v/>
      </c>
      <c r="R31" s="70" t="n"/>
    </row>
    <row r="32" ht="15" customHeight="1" s="42">
      <c r="A32" s="60" t="inlineStr">
        <is>
          <t>Frère Fouras</t>
        </is>
      </c>
      <c r="B32" s="48" t="inlineStr">
        <is>
          <t>Groupe 1 - Famille Raccourci</t>
        </is>
      </c>
      <c r="C32" s="60" t="n">
        <v>4</v>
      </c>
      <c r="D32" s="60" t="n">
        <v>1</v>
      </c>
      <c r="E32" s="60" t="inlineStr">
        <is>
          <t>Trépassable</t>
        </is>
      </c>
      <c r="F32" s="60" t="n"/>
      <c r="G32" s="60" t="n"/>
      <c r="H32" s="60" t="inlineStr">
        <is>
          <t>Sol-Spectre</t>
        </is>
      </c>
      <c r="I32" s="60" t="inlineStr">
        <is>
          <t>Sable Humide</t>
        </is>
      </c>
      <c r="J32" s="60" t="n"/>
      <c r="K32" s="60" t="inlineStr">
        <is>
          <t>Amass'Sable</t>
        </is>
      </c>
      <c r="L32" s="60" t="inlineStr">
        <is>
          <t>Giga-Sangsue</t>
        </is>
      </c>
      <c r="M32" s="60" t="inlineStr">
        <is>
          <t>Ball'Ombre</t>
        </is>
      </c>
      <c r="N32" s="60" t="inlineStr">
        <is>
          <t>Telluriforce</t>
        </is>
      </c>
      <c r="O32" s="60" t="inlineStr">
        <is>
          <t>Mur de Fer</t>
        </is>
      </c>
      <c r="P32" s="60" t="inlineStr">
        <is>
          <t>Hypnose</t>
        </is>
      </c>
      <c r="Q32" s="60">
        <f>COUNTA(K32:P32)</f>
        <v/>
      </c>
      <c r="R32" s="60" t="n"/>
    </row>
    <row r="33" ht="15" customHeight="1" s="42">
      <c r="A33" s="60" t="inlineStr">
        <is>
          <t>Frère Fouras</t>
        </is>
      </c>
      <c r="B33" s="48" t="inlineStr">
        <is>
          <t>Groupe 1 - Famille Raccourci</t>
        </is>
      </c>
      <c r="C33" s="60" t="n">
        <v>4</v>
      </c>
      <c r="D33" s="60" t="n">
        <v>2</v>
      </c>
      <c r="E33" s="60" t="inlineStr">
        <is>
          <t>Dolman</t>
        </is>
      </c>
      <c r="F33" s="60" t="n"/>
      <c r="G33" s="60" t="n"/>
      <c r="H33" s="60" t="inlineStr">
        <is>
          <t>Roche</t>
        </is>
      </c>
      <c r="I33" s="60" t="inlineStr">
        <is>
          <t>Cercle d'Énergie</t>
        </is>
      </c>
      <c r="J33" s="60" t="n"/>
      <c r="K33" s="60" t="inlineStr">
        <is>
          <t>Big Splash</t>
        </is>
      </c>
      <c r="L33" s="60" t="inlineStr">
        <is>
          <t>Tacle Lourd</t>
        </is>
      </c>
      <c r="M33" s="60" t="inlineStr">
        <is>
          <t>Garde Large</t>
        </is>
      </c>
      <c r="N33" s="60" t="inlineStr">
        <is>
          <t>Lame de Roc</t>
        </is>
      </c>
      <c r="O33" s="60" t="inlineStr">
        <is>
          <t>Cavalerie Lourde</t>
        </is>
      </c>
      <c r="P33" s="60" t="inlineStr">
        <is>
          <t>Poliroche</t>
        </is>
      </c>
      <c r="Q33" s="60">
        <f>COUNTA(K33:P33)</f>
        <v/>
      </c>
      <c r="R33" s="60" t="n"/>
    </row>
    <row r="34" ht="15" customHeight="1" s="42">
      <c r="A34" s="60" t="inlineStr">
        <is>
          <t>Frère Fouras</t>
        </is>
      </c>
      <c r="B34" s="48" t="inlineStr">
        <is>
          <t>Groupe 1 - Famille Raccourci</t>
        </is>
      </c>
      <c r="C34" s="60" t="n">
        <v>4</v>
      </c>
      <c r="D34" s="60" t="n">
        <v>3</v>
      </c>
      <c r="E34" s="60" t="inlineStr">
        <is>
          <t>Apireine</t>
        </is>
      </c>
      <c r="F34" s="60" t="n"/>
      <c r="G34" s="60" t="n"/>
      <c r="H34" s="60" t="inlineStr">
        <is>
          <t>Vol-Insecte</t>
        </is>
      </c>
      <c r="I34" s="60" t="inlineStr">
        <is>
          <t>Pression</t>
        </is>
      </c>
      <c r="J34" s="60" t="n"/>
      <c r="K34" s="60" t="inlineStr">
        <is>
          <t>Appel Attak</t>
        </is>
      </c>
      <c r="L34" s="60" t="inlineStr">
        <is>
          <t>Appel Défense</t>
        </is>
      </c>
      <c r="M34" s="60" t="inlineStr">
        <is>
          <t>Appel Soins</t>
        </is>
      </c>
      <c r="N34" s="60" t="inlineStr">
        <is>
          <t>Lame d'Air</t>
        </is>
      </c>
      <c r="O34" s="60" t="inlineStr">
        <is>
          <t>Aromathérapie</t>
        </is>
      </c>
      <c r="P34" s="60" t="inlineStr">
        <is>
          <t>Prélèvement du Destin</t>
        </is>
      </c>
      <c r="Q34" s="60">
        <f>COUNTA(K34:P34)</f>
        <v/>
      </c>
      <c r="R34" s="60" t="n"/>
    </row>
    <row r="35" ht="15" customHeight="1" s="42">
      <c r="A35" s="60" t="inlineStr">
        <is>
          <t>Frère Fouras</t>
        </is>
      </c>
      <c r="B35" s="48" t="inlineStr">
        <is>
          <t>Groupe 1 - Famille Raccourci</t>
        </is>
      </c>
      <c r="C35" s="60" t="n">
        <v>4</v>
      </c>
      <c r="D35" s="60" t="n">
        <v>4</v>
      </c>
      <c r="E35" s="60" t="inlineStr">
        <is>
          <t>Maraiste</t>
        </is>
      </c>
      <c r="F35" s="60" t="n"/>
      <c r="G35" s="60" t="n"/>
      <c r="H35" s="60" t="inlineStr">
        <is>
          <t>Eau-Sol</t>
        </is>
      </c>
      <c r="I35" s="60" t="inlineStr">
        <is>
          <t>Inconscient</t>
        </is>
      </c>
      <c r="J35" s="60" t="n"/>
      <c r="K35" s="60" t="inlineStr">
        <is>
          <t>Soin</t>
        </is>
      </c>
      <c r="L35" s="60" t="inlineStr">
        <is>
          <t>Hydro-Queue</t>
        </is>
      </c>
      <c r="M35" s="60" t="inlineStr">
        <is>
          <t>Séisme</t>
        </is>
      </c>
      <c r="N35" s="60" t="inlineStr">
        <is>
          <t>Bâillement</t>
        </is>
      </c>
      <c r="O35" s="60" t="inlineStr">
        <is>
          <t>Avalanche</t>
        </is>
      </c>
      <c r="P35" s="60" t="inlineStr">
        <is>
          <t>Picots</t>
        </is>
      </c>
      <c r="Q35" s="60">
        <f>COUNTA(K35:P35)</f>
        <v/>
      </c>
      <c r="R35" s="60" t="n"/>
    </row>
    <row r="36" ht="15" customHeight="1" s="42">
      <c r="A36" s="60" t="inlineStr">
        <is>
          <t>Frère Fouras</t>
        </is>
      </c>
      <c r="B36" s="48" t="inlineStr">
        <is>
          <t>Groupe 1 - Famille Raccourci</t>
        </is>
      </c>
      <c r="C36" s="60" t="n">
        <v>4</v>
      </c>
      <c r="D36" s="60" t="n">
        <v>5</v>
      </c>
      <c r="E36" s="60" t="inlineStr">
        <is>
          <t>Braisillon</t>
        </is>
      </c>
      <c r="F36" s="60" t="n"/>
      <c r="G36" s="60" t="n"/>
      <c r="H36" s="60" t="inlineStr">
        <is>
          <t>Feu-Vol</t>
        </is>
      </c>
      <c r="I36" s="60" t="inlineStr">
        <is>
          <t>Ailes Bourrasque</t>
        </is>
      </c>
      <c r="J36" s="60" t="n"/>
      <c r="K36" s="60" t="inlineStr">
        <is>
          <t>Acrobatie</t>
        </is>
      </c>
      <c r="L36" s="60" t="inlineStr">
        <is>
          <t>Demi-Tour</t>
        </is>
      </c>
      <c r="M36" s="60" t="inlineStr">
        <is>
          <t>Vol</t>
        </is>
      </c>
      <c r="N36" s="60" t="inlineStr">
        <is>
          <t>Vent Arrière</t>
        </is>
      </c>
      <c r="O36" s="60" t="inlineStr">
        <is>
          <t>Nitrocharge</t>
        </is>
      </c>
      <c r="P36" s="60" t="inlineStr">
        <is>
          <t>Feu Follet</t>
        </is>
      </c>
      <c r="Q36" s="60">
        <f>COUNTA(K36:P36)</f>
        <v/>
      </c>
      <c r="R36" s="60" t="n"/>
    </row>
    <row r="37" ht="15" customHeight="1" s="42">
      <c r="A37" s="60" t="inlineStr">
        <is>
          <t>Frère Fouras</t>
        </is>
      </c>
      <c r="B37" s="48" t="inlineStr">
        <is>
          <t>Groupe 1 - Famille Raccourci</t>
        </is>
      </c>
      <c r="C37" s="60" t="n">
        <v>4</v>
      </c>
      <c r="D37" s="60" t="n">
        <v>6</v>
      </c>
      <c r="E37" s="60" t="inlineStr">
        <is>
          <t>Séracrawl</t>
        </is>
      </c>
      <c r="F37" s="60" t="n"/>
      <c r="G37" s="60" t="n"/>
      <c r="H37" s="60" t="inlineStr">
        <is>
          <t>Glace</t>
        </is>
      </c>
      <c r="I37" s="60" t="inlineStr">
        <is>
          <t>Corps Gel</t>
        </is>
      </c>
      <c r="J37" s="60" t="n"/>
      <c r="K37" s="60" t="inlineStr">
        <is>
          <t>Avalanche</t>
        </is>
      </c>
      <c r="L37" s="60" t="inlineStr">
        <is>
          <t>Mâchouille</t>
        </is>
      </c>
      <c r="M37" s="60" t="inlineStr">
        <is>
          <t>Soin</t>
        </is>
      </c>
      <c r="N37" s="60" t="inlineStr">
        <is>
          <t>Malédiction</t>
        </is>
      </c>
      <c r="O37" s="60" t="inlineStr">
        <is>
          <t>Tour Rapide</t>
        </is>
      </c>
      <c r="P37" s="60" t="inlineStr">
        <is>
          <t>Chute de Neige</t>
        </is>
      </c>
      <c r="Q37" s="60">
        <f>COUNTA(K37:P37)</f>
        <v/>
      </c>
      <c r="R37" s="60" t="n"/>
    </row>
    <row r="38" ht="15" customHeight="1" s="42">
      <c r="A38" s="70" t="inlineStr">
        <is>
          <t>Frère Maskass</t>
        </is>
      </c>
      <c r="B38" s="55" t="inlineStr">
        <is>
          <t>Groupe 3</t>
        </is>
      </c>
      <c r="C38" s="70" t="n">
        <v>4</v>
      </c>
      <c r="D38" s="70" t="n">
        <v>1</v>
      </c>
      <c r="E38" s="70" t="inlineStr">
        <is>
          <t>Hypnomade</t>
        </is>
      </c>
      <c r="F38" s="70" t="n"/>
      <c r="G38" s="70" t="n"/>
      <c r="H38" s="70" t="inlineStr">
        <is>
          <t>Psy</t>
        </is>
      </c>
      <c r="I38" s="70" t="inlineStr">
        <is>
          <t>Insomnia</t>
        </is>
      </c>
      <c r="J38" s="70" t="n"/>
      <c r="K38" s="70" t="inlineStr">
        <is>
          <t>Hypnose</t>
        </is>
      </c>
      <c r="L38" s="70" t="inlineStr">
        <is>
          <t>Dévorêve</t>
        </is>
      </c>
      <c r="M38" s="70" t="inlineStr">
        <is>
          <t>Psyko</t>
        </is>
      </c>
      <c r="N38" s="70" t="inlineStr">
        <is>
          <t>Ball'Ombre</t>
        </is>
      </c>
      <c r="O38" s="70" t="inlineStr">
        <is>
          <t>Cauchemar</t>
        </is>
      </c>
      <c r="P38" s="70" t="inlineStr">
        <is>
          <t>Éclat Magique</t>
        </is>
      </c>
      <c r="Q38" s="70">
        <f>COUNTA(K38:P38)</f>
        <v/>
      </c>
      <c r="R38" s="70" t="n"/>
    </row>
    <row r="39" ht="15" customHeight="1" s="42">
      <c r="A39" s="70" t="inlineStr">
        <is>
          <t>Frère Maskass</t>
        </is>
      </c>
      <c r="B39" s="55" t="inlineStr">
        <is>
          <t>Groupe 3</t>
        </is>
      </c>
      <c r="C39" s="70" t="n">
        <v>4</v>
      </c>
      <c r="D39" s="70" t="n">
        <v>2</v>
      </c>
      <c r="E39" s="70" t="inlineStr">
        <is>
          <t>Scalproie</t>
        </is>
      </c>
      <c r="F39" s="70" t="n"/>
      <c r="G39" s="70" t="n"/>
      <c r="H39" s="70" t="inlineStr">
        <is>
          <t>Ténèbres-Acier</t>
        </is>
      </c>
      <c r="I39" s="70" t="inlineStr">
        <is>
          <t>Acharné</t>
        </is>
      </c>
      <c r="J39" s="70" t="n"/>
      <c r="K39" s="70" t="inlineStr">
        <is>
          <t>Tranche-Nuit</t>
        </is>
      </c>
      <c r="L39" s="70" t="inlineStr">
        <is>
          <t>Tête de Fer</t>
        </is>
      </c>
      <c r="M39" s="70" t="inlineStr">
        <is>
          <t>Coup Bas</t>
        </is>
      </c>
      <c r="N39" s="70" t="inlineStr">
        <is>
          <t>Danse Lames</t>
        </is>
      </c>
      <c r="O39" s="70" t="inlineStr">
        <is>
          <t>Casse-Brique</t>
        </is>
      </c>
      <c r="P39" s="70" t="inlineStr">
        <is>
          <t>Piège de Roc</t>
        </is>
      </c>
      <c r="Q39" s="70">
        <f>COUNTA(K39:P39)</f>
        <v/>
      </c>
      <c r="R39" s="70" t="n"/>
    </row>
    <row r="40" ht="15" customHeight="1" s="42">
      <c r="A40" s="70" t="inlineStr">
        <is>
          <t>Frère Maskass</t>
        </is>
      </c>
      <c r="B40" s="55" t="inlineStr">
        <is>
          <t>Groupe 3</t>
        </is>
      </c>
      <c r="C40" s="70" t="n">
        <v>4</v>
      </c>
      <c r="D40" s="70" t="n">
        <v>3</v>
      </c>
      <c r="E40" s="70" t="inlineStr">
        <is>
          <t>Grahyèna</t>
        </is>
      </c>
      <c r="F40" s="70" t="n"/>
      <c r="G40" s="70" t="n"/>
      <c r="H40" s="70" t="inlineStr">
        <is>
          <t>Ténèbres</t>
        </is>
      </c>
      <c r="I40" s="70" t="inlineStr">
        <is>
          <t>Intimidation</t>
        </is>
      </c>
      <c r="J40" s="70" t="n"/>
      <c r="K40" s="70" t="inlineStr">
        <is>
          <t>Crocs Feu</t>
        </is>
      </c>
      <c r="L40" s="70" t="inlineStr">
        <is>
          <t>Mâchouille</t>
        </is>
      </c>
      <c r="M40" s="70" t="inlineStr">
        <is>
          <t>Crocs Givre</t>
        </is>
      </c>
      <c r="N40" s="70" t="inlineStr">
        <is>
          <t>Hurlement</t>
        </is>
      </c>
      <c r="O40" s="70" t="inlineStr">
        <is>
          <t>Coup Bas</t>
        </is>
      </c>
      <c r="P40" s="70" t="inlineStr">
        <is>
          <t>Crocs Éclair</t>
        </is>
      </c>
      <c r="Q40" s="70">
        <f>COUNTA(K40:P40)</f>
        <v/>
      </c>
      <c r="R40" s="70" t="n"/>
    </row>
    <row r="41" ht="15" customHeight="1" s="42">
      <c r="A41" s="70" t="inlineStr">
        <is>
          <t>Frère Maskass</t>
        </is>
      </c>
      <c r="B41" s="55" t="inlineStr">
        <is>
          <t>Groupe 3</t>
        </is>
      </c>
      <c r="C41" s="70" t="n">
        <v>4</v>
      </c>
      <c r="D41" s="70" t="n">
        <v>4</v>
      </c>
      <c r="E41" s="70" t="inlineStr">
        <is>
          <t>Mackogneur</t>
        </is>
      </c>
      <c r="F41" s="70" t="n"/>
      <c r="G41" s="70" t="n"/>
      <c r="H41" s="70" t="inlineStr">
        <is>
          <t>Combat</t>
        </is>
      </c>
      <c r="I41" s="70" t="inlineStr">
        <is>
          <t>Annule Garde</t>
        </is>
      </c>
      <c r="J41" s="70" t="n"/>
      <c r="K41" s="70" t="inlineStr">
        <is>
          <t>Dynamo-Poing</t>
        </is>
      </c>
      <c r="L41" s="70" t="inlineStr">
        <is>
          <t>Poing Glace</t>
        </is>
      </c>
      <c r="M41" s="70" t="inlineStr">
        <is>
          <t>Lame de Roc</t>
        </is>
      </c>
      <c r="N41" s="70" t="inlineStr">
        <is>
          <t>Poing Éclair</t>
        </is>
      </c>
      <c r="O41" s="70" t="inlineStr">
        <is>
          <t>Séisme</t>
        </is>
      </c>
      <c r="P41" s="70" t="inlineStr">
        <is>
          <t>Gonflette</t>
        </is>
      </c>
      <c r="Q41" s="70">
        <f>COUNTA(K41:P41)</f>
        <v/>
      </c>
      <c r="R41" s="70" t="n"/>
    </row>
    <row r="42" ht="15" customHeight="1" s="42">
      <c r="A42" s="70" t="inlineStr">
        <is>
          <t>Frère Maskass</t>
        </is>
      </c>
      <c r="B42" s="55" t="inlineStr">
        <is>
          <t>Groupe 3</t>
        </is>
      </c>
      <c r="C42" s="70" t="n">
        <v>4</v>
      </c>
      <c r="D42" s="70" t="n">
        <v>5</v>
      </c>
      <c r="E42" s="70" t="inlineStr">
        <is>
          <t>Ténéfix</t>
        </is>
      </c>
      <c r="F42" s="70" t="n"/>
      <c r="G42" s="70" t="n"/>
      <c r="H42" s="70" t="inlineStr">
        <is>
          <t>Ténèbres-Spectre</t>
        </is>
      </c>
      <c r="I42" s="70" t="inlineStr">
        <is>
          <t>Farceur</t>
        </is>
      </c>
      <c r="J42" s="70" t="n"/>
      <c r="K42" s="70" t="inlineStr">
        <is>
          <t>Feu Follet</t>
        </is>
      </c>
      <c r="L42" s="70" t="inlineStr">
        <is>
          <t>Ombre Portée</t>
        </is>
      </c>
      <c r="M42" s="70" t="inlineStr">
        <is>
          <t>Ball'Ombre</t>
        </is>
      </c>
      <c r="N42" s="70" t="inlineStr">
        <is>
          <t>Regard Noir</t>
        </is>
      </c>
      <c r="O42" s="70" t="inlineStr">
        <is>
          <t>Soin</t>
        </is>
      </c>
      <c r="P42" s="70" t="inlineStr">
        <is>
          <t>Tricherie</t>
        </is>
      </c>
      <c r="Q42" s="70">
        <f>COUNTA(K42:P42)</f>
        <v/>
      </c>
      <c r="R42" s="70" t="n"/>
    </row>
    <row r="43" ht="15" customHeight="1" s="42">
      <c r="A43" s="70" t="inlineStr">
        <is>
          <t>Frère Maskass</t>
        </is>
      </c>
      <c r="B43" s="55" t="inlineStr">
        <is>
          <t>Groupe 3</t>
        </is>
      </c>
      <c r="C43" s="70" t="n">
        <v>4</v>
      </c>
      <c r="D43" s="70" t="n">
        <v>6</v>
      </c>
      <c r="E43" s="70" t="inlineStr">
        <is>
          <t>Corboss</t>
        </is>
      </c>
      <c r="F43" s="70" t="n"/>
      <c r="G43" s="70" t="n"/>
      <c r="H43" s="70" t="inlineStr">
        <is>
          <t>Ténèbres-Vol</t>
        </is>
      </c>
      <c r="I43" s="70" t="inlineStr">
        <is>
          <t>Insomnia</t>
        </is>
      </c>
      <c r="J43" s="70" t="n"/>
      <c r="K43" s="70" t="inlineStr">
        <is>
          <t>Vibrobscur</t>
        </is>
      </c>
      <c r="L43" s="70" t="inlineStr">
        <is>
          <t>Rapace</t>
        </is>
      </c>
      <c r="M43" s="70" t="inlineStr">
        <is>
          <t>Coup Bas</t>
        </is>
      </c>
      <c r="N43" s="70" t="inlineStr">
        <is>
          <t>Machination</t>
        </is>
      </c>
      <c r="O43" s="70" t="inlineStr">
        <is>
          <t>Vol</t>
        </is>
      </c>
      <c r="P43" s="70" t="inlineStr">
        <is>
          <t>Atterrissage</t>
        </is>
      </c>
      <c r="Q43" s="70">
        <f>COUNTA(K43:P43)</f>
        <v/>
      </c>
      <c r="R43" s="70" t="n"/>
    </row>
    <row r="44" ht="15" customHeight="1" s="42">
      <c r="A44" s="60" t="inlineStr">
        <is>
          <t>Sœur Vouivre</t>
        </is>
      </c>
      <c r="B44" s="53" t="inlineStr">
        <is>
          <t>Groupe 4</t>
        </is>
      </c>
      <c r="C44" s="60" t="n">
        <v>4</v>
      </c>
      <c r="D44" s="60" t="n">
        <v>1</v>
      </c>
      <c r="E44" s="60" t="inlineStr">
        <is>
          <t>Rexillius</t>
        </is>
      </c>
      <c r="F44" s="60" t="n"/>
      <c r="G44" s="60" t="n"/>
      <c r="H44" s="60" t="inlineStr">
        <is>
          <t>Roche-Dragon</t>
        </is>
      </c>
      <c r="I44" s="60" t="inlineStr">
        <is>
          <t>Prognathe</t>
        </is>
      </c>
      <c r="J44" s="60" t="n"/>
      <c r="K44" s="60" t="inlineStr">
        <is>
          <t>Draco-Griffe</t>
        </is>
      </c>
      <c r="L44" s="60" t="inlineStr">
        <is>
          <t>Mâchouille</t>
        </is>
      </c>
      <c r="M44" s="60" t="inlineStr">
        <is>
          <t>Éboulement</t>
        </is>
      </c>
      <c r="N44" s="60" t="inlineStr">
        <is>
          <t>Danse Draco</t>
        </is>
      </c>
      <c r="O44" s="60" t="inlineStr">
        <is>
          <t>Séisme</t>
        </is>
      </c>
      <c r="P44" s="60" t="inlineStr">
        <is>
          <t>Lame de Roc</t>
        </is>
      </c>
      <c r="Q44" s="60">
        <f>COUNTA(K44:P44)</f>
        <v/>
      </c>
      <c r="R44" s="60" t="n"/>
    </row>
    <row r="45" ht="15" customHeight="1" s="42">
      <c r="A45" s="60" t="inlineStr">
        <is>
          <t>Sœur Vouivre</t>
        </is>
      </c>
      <c r="B45" s="53" t="inlineStr">
        <is>
          <t>Groupe 4</t>
        </is>
      </c>
      <c r="C45" s="60" t="n">
        <v>4</v>
      </c>
      <c r="D45" s="60" t="n">
        <v>2</v>
      </c>
      <c r="E45" s="60" t="inlineStr">
        <is>
          <t>Crocorible</t>
        </is>
      </c>
      <c r="F45" s="60" t="n"/>
      <c r="G45" s="60" t="n"/>
      <c r="H45" s="60" t="inlineStr">
        <is>
          <t>Sol-Ténèbres</t>
        </is>
      </c>
      <c r="I45" s="60" t="inlineStr">
        <is>
          <t>Intimidation</t>
        </is>
      </c>
      <c r="J45" s="60" t="n"/>
      <c r="K45" s="60" t="inlineStr">
        <is>
          <t>Séisme</t>
        </is>
      </c>
      <c r="L45" s="60" t="inlineStr">
        <is>
          <t>Sabotage</t>
        </is>
      </c>
      <c r="M45" s="60" t="inlineStr">
        <is>
          <t>Crocs Feu</t>
        </is>
      </c>
      <c r="N45" s="60" t="inlineStr">
        <is>
          <t>Casse-Brique</t>
        </is>
      </c>
      <c r="O45" s="60" t="inlineStr">
        <is>
          <t>Lame de Roc</t>
        </is>
      </c>
      <c r="P45" s="60" t="inlineStr">
        <is>
          <t>Piège de Roc</t>
        </is>
      </c>
      <c r="Q45" s="60">
        <f>COUNTA(K45:P45)</f>
        <v/>
      </c>
      <c r="R45" s="60" t="n"/>
    </row>
    <row r="46" ht="15" customHeight="1" s="42">
      <c r="A46" s="60" t="inlineStr">
        <is>
          <t>Sœur Vouivre</t>
        </is>
      </c>
      <c r="B46" s="53" t="inlineStr">
        <is>
          <t>Groupe 4</t>
        </is>
      </c>
      <c r="C46" s="60" t="n">
        <v>4</v>
      </c>
      <c r="D46" s="60" t="n">
        <v>3</v>
      </c>
      <c r="E46" s="60" t="inlineStr">
        <is>
          <t>Bruyverne</t>
        </is>
      </c>
      <c r="F46" s="60" t="n"/>
      <c r="G46" s="60" t="n"/>
      <c r="H46" s="60" t="inlineStr">
        <is>
          <t>Vol-Dragon</t>
        </is>
      </c>
      <c r="I46" s="60" t="inlineStr">
        <is>
          <t>Infiltration</t>
        </is>
      </c>
      <c r="J46" s="60" t="n"/>
      <c r="K46" s="60" t="inlineStr">
        <is>
          <t>Bang Sonique</t>
        </is>
      </c>
      <c r="L46" s="60" t="inlineStr">
        <is>
          <t>Lame d'Air</t>
        </is>
      </c>
      <c r="M46" s="60" t="inlineStr">
        <is>
          <t>Draco-Choc</t>
        </is>
      </c>
      <c r="N46" s="60" t="inlineStr">
        <is>
          <t>Ultrason</t>
        </is>
      </c>
      <c r="O46" s="60" t="inlineStr">
        <is>
          <t>Vol</t>
        </is>
      </c>
      <c r="P46" s="60" t="inlineStr">
        <is>
          <t>Atterrissage</t>
        </is>
      </c>
      <c r="Q46" s="60">
        <f>COUNTA(K46:P46)</f>
        <v/>
      </c>
      <c r="R46" s="60" t="n"/>
    </row>
    <row r="47" ht="15" customHeight="1" s="42">
      <c r="A47" s="60" t="inlineStr">
        <is>
          <t>Sœur Vouivre</t>
        </is>
      </c>
      <c r="B47" s="53" t="inlineStr">
        <is>
          <t>Groupe 4</t>
        </is>
      </c>
      <c r="C47" s="60" t="n">
        <v>4</v>
      </c>
      <c r="D47" s="60" t="n">
        <v>4</v>
      </c>
      <c r="E47" s="60" t="inlineStr">
        <is>
          <t>Libégon</t>
        </is>
      </c>
      <c r="F47" s="60" t="n"/>
      <c r="G47" s="60" t="n"/>
      <c r="H47" s="60" t="inlineStr">
        <is>
          <t>Sol-Dragon</t>
        </is>
      </c>
      <c r="I47" s="60" t="inlineStr">
        <is>
          <t>Lévitation</t>
        </is>
      </c>
      <c r="J47" s="60" t="n"/>
      <c r="K47" s="60" t="inlineStr">
        <is>
          <t>Draco-Griffe</t>
        </is>
      </c>
      <c r="L47" s="60" t="inlineStr">
        <is>
          <t>Séisme</t>
        </is>
      </c>
      <c r="M47" s="60" t="inlineStr">
        <is>
          <t>Queue de Fer</t>
        </is>
      </c>
      <c r="N47" s="60" t="inlineStr">
        <is>
          <t>Danse Draco</t>
        </is>
      </c>
      <c r="O47" s="60" t="inlineStr">
        <is>
          <t>Demi-Tour</t>
        </is>
      </c>
      <c r="P47" s="60" t="inlineStr">
        <is>
          <t>Lame de Roc</t>
        </is>
      </c>
      <c r="Q47" s="60">
        <f>COUNTA(K47:P47)</f>
        <v/>
      </c>
      <c r="R47" s="60" t="n"/>
    </row>
    <row r="48" ht="15" customHeight="1" s="42">
      <c r="A48" s="60" t="inlineStr">
        <is>
          <t>Sœur Vouivre</t>
        </is>
      </c>
      <c r="B48" s="53" t="inlineStr">
        <is>
          <t>Groupe 4</t>
        </is>
      </c>
      <c r="C48" s="60" t="n">
        <v>4</v>
      </c>
      <c r="D48" s="60" t="n">
        <v>5</v>
      </c>
      <c r="E48" s="60" t="inlineStr">
        <is>
          <t>Torgamord</t>
        </is>
      </c>
      <c r="F48" s="60" t="n"/>
      <c r="G48" s="60" t="n"/>
      <c r="H48" s="60" t="inlineStr">
        <is>
          <t>Eau-Roche</t>
        </is>
      </c>
      <c r="I48" s="60" t="inlineStr">
        <is>
          <t>Coque Armure</t>
        </is>
      </c>
      <c r="J48" s="60" t="n"/>
      <c r="K48" s="60" t="inlineStr">
        <is>
          <t>Coqui-Lame</t>
        </is>
      </c>
      <c r="L48" s="60" t="inlineStr">
        <is>
          <t>Fracass'Tête</t>
        </is>
      </c>
      <c r="M48" s="60" t="inlineStr">
        <is>
          <t>Croque Fort</t>
        </is>
      </c>
      <c r="N48" s="60" t="inlineStr">
        <is>
          <t>Riposte</t>
        </is>
      </c>
      <c r="O48" s="60" t="inlineStr">
        <is>
          <t>Lame de Roc</t>
        </is>
      </c>
      <c r="P48" s="60" t="inlineStr">
        <is>
          <t>Surf</t>
        </is>
      </c>
      <c r="Q48" s="60">
        <f>COUNTA(K48:P48)</f>
        <v/>
      </c>
      <c r="R48" s="60" t="n"/>
    </row>
    <row r="49" ht="15" customHeight="1" s="42">
      <c r="A49" s="60" t="inlineStr">
        <is>
          <t>Sœur Vouivre</t>
        </is>
      </c>
      <c r="B49" s="53" t="inlineStr">
        <is>
          <t>Groupe 4</t>
        </is>
      </c>
      <c r="C49" s="60" t="n">
        <v>4</v>
      </c>
      <c r="D49" s="60" t="n">
        <v>6</v>
      </c>
      <c r="E49" s="60" t="inlineStr">
        <is>
          <t>Séviper</t>
        </is>
      </c>
      <c r="F49" s="60" t="n"/>
      <c r="G49" s="60" t="n"/>
      <c r="H49" s="60" t="inlineStr">
        <is>
          <t>Poison</t>
        </is>
      </c>
      <c r="I49" s="60" t="inlineStr">
        <is>
          <t>Mue</t>
        </is>
      </c>
      <c r="J49" s="60" t="n"/>
      <c r="K49" s="60" t="inlineStr">
        <is>
          <t>Crochet Venin</t>
        </is>
      </c>
      <c r="L49" s="60" t="inlineStr">
        <is>
          <t>Tranche-Nuit</t>
        </is>
      </c>
      <c r="M49" s="60" t="inlineStr">
        <is>
          <t>Regard Médusant</t>
        </is>
      </c>
      <c r="N49" s="60" t="inlineStr">
        <is>
          <t>Danse Lames</t>
        </is>
      </c>
      <c r="O49" s="60" t="inlineStr">
        <is>
          <t>Séisme</t>
        </is>
      </c>
      <c r="P49" s="60" t="inlineStr">
        <is>
          <t>Queue de Fer</t>
        </is>
      </c>
      <c r="Q49" s="60">
        <f>COUNTA(K49:P49)</f>
        <v/>
      </c>
      <c r="R49" s="60" t="n"/>
    </row>
    <row r="50" ht="15" customHeight="1" s="42">
      <c r="A50" s="70" t="inlineStr">
        <is>
          <t>Frère Menu</t>
        </is>
      </c>
      <c r="B50" s="51" t="inlineStr">
        <is>
          <t>Groupe 2</t>
        </is>
      </c>
      <c r="C50" s="70" t="n">
        <v>3</v>
      </c>
      <c r="D50" s="70" t="n">
        <v>1</v>
      </c>
      <c r="E50" s="70" t="inlineStr">
        <is>
          <t>Cupcanaille</t>
        </is>
      </c>
      <c r="F50" s="70" t="n"/>
      <c r="G50" s="70" t="n"/>
      <c r="H50" s="60" t="inlineStr">
        <is>
          <t>Fée</t>
        </is>
      </c>
      <c r="I50" s="70" t="inlineStr">
        <is>
          <t>Délestage</t>
        </is>
      </c>
      <c r="J50" s="70" t="inlineStr">
        <is>
          <t>Baie Sitrus</t>
        </is>
      </c>
      <c r="K50" s="70" t="inlineStr">
        <is>
          <t>Croco-Larme</t>
        </is>
      </c>
      <c r="L50" s="70" t="inlineStr">
        <is>
          <t>Coto-Garde</t>
        </is>
      </c>
      <c r="M50" s="70" t="inlineStr">
        <is>
          <t>Toile Gluante</t>
        </is>
      </c>
      <c r="N50" s="70" t="inlineStr">
        <is>
          <t>Mur Lumière</t>
        </is>
      </c>
      <c r="O50" s="70" t="inlineStr">
        <is>
          <t>Vampibaiser</t>
        </is>
      </c>
      <c r="P50" s="70" t="n"/>
      <c r="Q50" s="70">
        <f>COUNTA(K50:P50)</f>
        <v/>
      </c>
      <c r="R50" s="70" t="n"/>
    </row>
    <row r="51" ht="15" customHeight="1" s="42">
      <c r="A51" s="70" t="inlineStr">
        <is>
          <t>Frère Menu</t>
        </is>
      </c>
      <c r="B51" s="51" t="inlineStr">
        <is>
          <t>Groupe 2</t>
        </is>
      </c>
      <c r="C51" s="70" t="n">
        <v>3</v>
      </c>
      <c r="D51" s="70" t="n">
        <v>2</v>
      </c>
      <c r="E51" s="70" t="inlineStr">
        <is>
          <t>Sorbouboul</t>
        </is>
      </c>
      <c r="F51" s="70" t="n"/>
      <c r="G51" s="70" t="n"/>
      <c r="H51" s="70" t="inlineStr">
        <is>
          <t>Glace</t>
        </is>
      </c>
      <c r="I51" s="70" t="inlineStr">
        <is>
          <t>Alerte Neige</t>
        </is>
      </c>
      <c r="J51" s="70" t="n"/>
      <c r="K51" s="70" t="inlineStr">
        <is>
          <t>Blizzard</t>
        </is>
      </c>
      <c r="L51" s="70" t="inlineStr">
        <is>
          <t>Voile Aurore</t>
        </is>
      </c>
      <c r="M51" s="70" t="inlineStr">
        <is>
          <t>Lyophilisation</t>
        </is>
      </c>
      <c r="N51" s="70" t="inlineStr">
        <is>
          <t>Chute Glace</t>
        </is>
      </c>
      <c r="O51" s="70" t="inlineStr">
        <is>
          <t>Explosion</t>
        </is>
      </c>
      <c r="P51" s="70" t="n"/>
      <c r="Q51" s="70">
        <f>COUNTA(K51:P51)</f>
        <v/>
      </c>
      <c r="R51" s="70" t="n"/>
    </row>
    <row r="52" ht="15" customHeight="1" s="42">
      <c r="A52" s="70" t="inlineStr">
        <is>
          <t>Frère Menu</t>
        </is>
      </c>
      <c r="B52" s="51" t="inlineStr">
        <is>
          <t>Groupe 2</t>
        </is>
      </c>
      <c r="C52" s="70" t="n">
        <v>3</v>
      </c>
      <c r="D52" s="70" t="n">
        <v>3</v>
      </c>
      <c r="E52" s="70" t="inlineStr">
        <is>
          <t>Charmilly</t>
        </is>
      </c>
      <c r="F52" s="70" t="n"/>
      <c r="G52" s="70" t="n"/>
      <c r="H52" s="70" t="inlineStr">
        <is>
          <t>Fée</t>
        </is>
      </c>
      <c r="I52" s="70" t="inlineStr">
        <is>
          <t>Aroma-Voile</t>
        </is>
      </c>
      <c r="J52" s="70" t="n"/>
      <c r="K52" s="70" t="inlineStr">
        <is>
          <t>Doux Baiser</t>
        </is>
      </c>
      <c r="L52" s="70" t="inlineStr">
        <is>
          <t>Nappage</t>
        </is>
      </c>
      <c r="M52" s="70" t="inlineStr">
        <is>
          <t>Éclat Magique</t>
        </is>
      </c>
      <c r="N52" s="70" t="inlineStr">
        <is>
          <t>Psyko</t>
        </is>
      </c>
      <c r="O52" s="70" t="inlineStr">
        <is>
          <t>Attraction</t>
        </is>
      </c>
      <c r="P52" s="70" t="n"/>
      <c r="Q52" s="70">
        <f>COUNTA(K52:P52)</f>
        <v/>
      </c>
      <c r="R52" s="70" t="n"/>
    </row>
    <row r="53" ht="15" customHeight="1" s="42">
      <c r="A53" s="70" t="inlineStr">
        <is>
          <t>Frère Menu</t>
        </is>
      </c>
      <c r="B53" s="51" t="inlineStr">
        <is>
          <t>Groupe 2</t>
        </is>
      </c>
      <c r="C53" s="70" t="n">
        <v>3</v>
      </c>
      <c r="D53" s="70" t="n">
        <v>4</v>
      </c>
      <c r="E53" s="70" t="inlineStr">
        <is>
          <t>Dratatin</t>
        </is>
      </c>
      <c r="F53" s="70" t="n"/>
      <c r="G53" s="70" t="n"/>
      <c r="H53" s="70" t="inlineStr">
        <is>
          <t>Plante-Dragon</t>
        </is>
      </c>
      <c r="I53" s="70" t="inlineStr">
        <is>
          <t>Isograisse</t>
        </is>
      </c>
      <c r="J53" s="70" t="n"/>
      <c r="K53" s="70" t="inlineStr">
        <is>
          <t>Dracochoc</t>
        </is>
      </c>
      <c r="L53" s="70" t="inlineStr">
        <is>
          <t>Acide Malique</t>
        </is>
      </c>
      <c r="M53" s="70" t="inlineStr">
        <is>
          <t>Éco-Sphère</t>
        </is>
      </c>
      <c r="N53" s="70" t="inlineStr">
        <is>
          <t>Giga-Sangsue</t>
        </is>
      </c>
      <c r="O53" s="70" t="inlineStr">
        <is>
          <t>Gyroballe</t>
        </is>
      </c>
      <c r="P53" s="70" t="n"/>
      <c r="Q53" s="70">
        <f>COUNTA(K53:P53)</f>
        <v/>
      </c>
      <c r="R53" s="70" t="n"/>
    </row>
    <row r="54" ht="15" customHeight="1" s="42">
      <c r="A54" s="70" t="inlineStr">
        <is>
          <t>Frère Menu</t>
        </is>
      </c>
      <c r="B54" s="51" t="inlineStr">
        <is>
          <t>Groupe 2</t>
        </is>
      </c>
      <c r="C54" s="70" t="n">
        <v>3</v>
      </c>
      <c r="D54" s="70" t="n">
        <v>5</v>
      </c>
      <c r="E54" s="70" t="inlineStr">
        <is>
          <t>Arboliva</t>
        </is>
      </c>
      <c r="F54" s="70" t="n"/>
      <c r="G54" s="70" t="n"/>
      <c r="H54" s="70" t="inlineStr">
        <is>
          <t>Plante-Normal</t>
        </is>
      </c>
      <c r="I54" s="70" t="inlineStr">
        <is>
          <t>Récolte</t>
        </is>
      </c>
      <c r="J54" s="70" t="inlineStr">
        <is>
          <t>Baie Sitrus</t>
        </is>
      </c>
      <c r="K54" s="70" t="inlineStr">
        <is>
          <t>Tempête Verte</t>
        </is>
      </c>
      <c r="L54" s="70" t="inlineStr">
        <is>
          <t>Boule Pollen</t>
        </is>
      </c>
      <c r="M54" s="70" t="inlineStr">
        <is>
          <t>Vampigraine</t>
        </is>
      </c>
      <c r="N54" s="70" t="inlineStr">
        <is>
          <t>Éco-Sphère</t>
        </is>
      </c>
      <c r="O54" s="70" t="n"/>
      <c r="P54" s="70" t="n"/>
      <c r="Q54" s="70">
        <f>COUNTA(K54:P54)</f>
        <v/>
      </c>
      <c r="R54" s="70" t="n"/>
    </row>
    <row r="55" ht="15" customHeight="1" s="42">
      <c r="A55" s="60" t="inlineStr">
        <is>
          <t>Sœur Dame Blanche</t>
        </is>
      </c>
      <c r="B55" s="48" t="inlineStr">
        <is>
          <t>Groupe 1 - Famille Raccourci</t>
        </is>
      </c>
      <c r="C55" s="60" t="n">
        <v>3</v>
      </c>
      <c r="D55" s="60" t="n">
        <v>1</v>
      </c>
      <c r="E55" s="60" t="inlineStr">
        <is>
          <t>Dedenne</t>
        </is>
      </c>
      <c r="F55" s="60" t="n"/>
      <c r="G55" s="60" t="n"/>
      <c r="H55" s="60" t="inlineStr">
        <is>
          <t>Électrik-Fée</t>
        </is>
      </c>
      <c r="I55" s="60" t="inlineStr">
        <is>
          <t>Bajoues</t>
        </is>
      </c>
      <c r="J55" s="60" t="inlineStr">
        <is>
          <t>Baie Sitrus</t>
        </is>
      </c>
      <c r="K55" s="60" t="inlineStr">
        <is>
          <t>Frotte-Frimousse</t>
        </is>
      </c>
      <c r="L55" s="60" t="inlineStr">
        <is>
          <t>Coup d'Jus</t>
        </is>
      </c>
      <c r="M55" s="60" t="inlineStr">
        <is>
          <t>Câlinerie</t>
        </is>
      </c>
      <c r="N55" s="60" t="inlineStr">
        <is>
          <t>Charme</t>
        </is>
      </c>
      <c r="O55" s="60" t="inlineStr">
        <is>
          <t>Attraction</t>
        </is>
      </c>
      <c r="P55" s="60" t="inlineStr">
        <is>
          <t>Ten-Danse</t>
        </is>
      </c>
      <c r="Q55" s="60">
        <f>COUNTA(K55:P55)</f>
        <v/>
      </c>
      <c r="R55" s="60" t="n"/>
    </row>
    <row r="56" ht="15" customHeight="1" s="42">
      <c r="A56" s="60" t="inlineStr">
        <is>
          <t>Sœur Dame Blanche</t>
        </is>
      </c>
      <c r="B56" s="48" t="inlineStr">
        <is>
          <t>Groupe 1 - Famille Raccourci</t>
        </is>
      </c>
      <c r="C56" s="60" t="n">
        <v>3</v>
      </c>
      <c r="D56" s="60" t="n">
        <v>2</v>
      </c>
      <c r="E56" s="60" t="inlineStr">
        <is>
          <t>Wimessir (femelle)</t>
        </is>
      </c>
      <c r="F56" s="60" t="n"/>
      <c r="G56" s="60" t="n"/>
      <c r="H56" s="60" t="inlineStr">
        <is>
          <t>Normal-Psy</t>
        </is>
      </c>
      <c r="I56" s="60" t="inlineStr">
        <is>
          <t>Créa-Psy</t>
        </is>
      </c>
      <c r="J56" s="60" t="n"/>
      <c r="K56" s="60" t="inlineStr">
        <is>
          <t>Plénitude</t>
        </is>
      </c>
      <c r="L56" s="60" t="inlineStr">
        <is>
          <t>Feuille Magik</t>
        </is>
      </c>
      <c r="M56" s="60" t="inlineStr">
        <is>
          <t>Feu Ensorcelé</t>
        </is>
      </c>
      <c r="N56" s="60" t="inlineStr">
        <is>
          <t>Vampibaiser</t>
        </is>
      </c>
      <c r="O56" s="60" t="inlineStr">
        <is>
          <t>Rafale Psy</t>
        </is>
      </c>
      <c r="P56" s="60" t="inlineStr">
        <is>
          <t>Force Ajoutée</t>
        </is>
      </c>
      <c r="Q56" s="60">
        <f>COUNTA(K56:P56)</f>
        <v/>
      </c>
      <c r="R56" s="60" t="n"/>
    </row>
    <row r="57" ht="15" customHeight="1" s="42">
      <c r="A57" s="60" t="inlineStr">
        <is>
          <t>Sœur Dame Blanche</t>
        </is>
      </c>
      <c r="B57" s="48" t="inlineStr">
        <is>
          <t>Groupe 1 - Famille Raccourci</t>
        </is>
      </c>
      <c r="C57" s="60" t="n">
        <v>3</v>
      </c>
      <c r="D57" s="60" t="n">
        <v>3</v>
      </c>
      <c r="E57" s="60" t="inlineStr">
        <is>
          <t>Terracool</t>
        </is>
      </c>
      <c r="F57" s="60" t="n"/>
      <c r="G57" s="60" t="n"/>
      <c r="H57" s="60" t="inlineStr">
        <is>
          <t>Sol-Plante</t>
        </is>
      </c>
      <c r="I57" s="60" t="inlineStr">
        <is>
          <t>Force Fongique</t>
        </is>
      </c>
      <c r="J57" s="60" t="n"/>
      <c r="K57" s="60" t="inlineStr">
        <is>
          <t>Méga-Sangsue</t>
        </is>
      </c>
      <c r="L57" s="60" t="inlineStr">
        <is>
          <t>Spore</t>
        </is>
      </c>
      <c r="M57" s="60" t="inlineStr">
        <is>
          <t>Châtiment</t>
        </is>
      </c>
      <c r="N57" s="60" t="inlineStr">
        <is>
          <t>Tir de Boue</t>
        </is>
      </c>
      <c r="O57" s="60" t="inlineStr">
        <is>
          <t>Tricherie</t>
        </is>
      </c>
      <c r="P57" s="60" t="inlineStr">
        <is>
          <t>Picots</t>
        </is>
      </c>
      <c r="Q57" s="60">
        <f>COUNTA(K57:P57)</f>
        <v/>
      </c>
      <c r="R57" s="60" t="n"/>
    </row>
    <row r="58" ht="15" customHeight="1" s="42">
      <c r="A58" s="60" t="inlineStr">
        <is>
          <t>Sœur Dame Blanche</t>
        </is>
      </c>
      <c r="B58" s="48" t="inlineStr">
        <is>
          <t>Groupe 1 - Famille Raccourci</t>
        </is>
      </c>
      <c r="C58" s="60" t="n">
        <v>3</v>
      </c>
      <c r="D58" s="60" t="n">
        <v>4</v>
      </c>
      <c r="E58" s="60" t="inlineStr">
        <is>
          <t>Iguolta</t>
        </is>
      </c>
      <c r="F58" s="60" t="n"/>
      <c r="G58" s="60" t="n"/>
      <c r="H58" s="60" t="inlineStr">
        <is>
          <t>Électrik-Normal</t>
        </is>
      </c>
      <c r="I58" s="60" t="inlineStr">
        <is>
          <t>Peau Sèche</t>
        </is>
      </c>
      <c r="J58" s="60" t="n"/>
      <c r="K58" s="60" t="inlineStr">
        <is>
          <t>Parabocharge</t>
        </is>
      </c>
      <c r="L58" s="60" t="inlineStr">
        <is>
          <t>Ondes Étranges</t>
        </is>
      </c>
      <c r="M58" s="60" t="inlineStr">
        <is>
          <t>Électrisation</t>
        </is>
      </c>
      <c r="N58" s="60" t="inlineStr">
        <is>
          <t>Abattage</t>
        </is>
      </c>
      <c r="O58" s="60" t="inlineStr">
        <is>
          <t>Aurore</t>
        </is>
      </c>
      <c r="P58" s="60" t="n"/>
      <c r="Q58" s="60">
        <f>COUNTA(K58:P58)</f>
        <v/>
      </c>
      <c r="R58" s="60" t="n"/>
    </row>
    <row r="59" ht="15" customHeight="1" s="42">
      <c r="A59" s="60" t="inlineStr">
        <is>
          <t>Sœur Dame Blanche</t>
        </is>
      </c>
      <c r="B59" s="48" t="inlineStr">
        <is>
          <t>Groupe 1 - Famille Raccourci</t>
        </is>
      </c>
      <c r="C59" s="60" t="n">
        <v>3</v>
      </c>
      <c r="D59" s="60" t="n">
        <v>5</v>
      </c>
      <c r="E59" s="60" t="inlineStr">
        <is>
          <t>Polthégeist</t>
        </is>
      </c>
      <c r="F59" s="60" t="n"/>
      <c r="G59" s="60" t="n"/>
      <c r="H59" s="60" t="inlineStr">
        <is>
          <t>Spectre</t>
        </is>
      </c>
      <c r="I59" s="60" t="inlineStr">
        <is>
          <t>Corps Maudit</t>
        </is>
      </c>
      <c r="J59" s="60" t="n"/>
      <c r="K59" s="60" t="inlineStr">
        <is>
          <t>Giga-Sangsue</t>
        </is>
      </c>
      <c r="L59" s="60" t="inlineStr">
        <is>
          <t>Vol-Force</t>
        </is>
      </c>
      <c r="M59" s="60" t="inlineStr">
        <is>
          <t>Châtiment</t>
        </is>
      </c>
      <c r="N59" s="60" t="inlineStr">
        <is>
          <t>Feu Follet</t>
        </is>
      </c>
      <c r="O59" s="60" t="inlineStr">
        <is>
          <t>Onde Folie</t>
        </is>
      </c>
      <c r="P59" s="60" t="inlineStr">
        <is>
          <t>Protection</t>
        </is>
      </c>
      <c r="Q59" s="60">
        <f>COUNTA(K59:P59)</f>
        <v/>
      </c>
      <c r="R59" s="60" t="n"/>
    </row>
    <row r="60" ht="15" customHeight="1" s="42">
      <c r="A60" s="70" t="inlineStr">
        <is>
          <t>Sœur Gardienne</t>
        </is>
      </c>
      <c r="B60" s="51" t="inlineStr">
        <is>
          <t>Groupe 2</t>
        </is>
      </c>
      <c r="C60" s="70" t="n">
        <v>3</v>
      </c>
      <c r="D60" s="70" t="n">
        <v>1</v>
      </c>
      <c r="E60" s="70" t="inlineStr">
        <is>
          <t>Lucanon</t>
        </is>
      </c>
      <c r="F60" s="70" t="n"/>
      <c r="G60" s="70" t="n"/>
      <c r="H60" s="70" t="inlineStr">
        <is>
          <t>Insecte-Électrik</t>
        </is>
      </c>
      <c r="I60" s="70" t="inlineStr">
        <is>
          <t>Lévitation</t>
        </is>
      </c>
      <c r="J60" s="70" t="n"/>
      <c r="K60" s="70" t="inlineStr">
        <is>
          <t>Chargeur</t>
        </is>
      </c>
      <c r="L60" s="70" t="inlineStr">
        <is>
          <t>Tonnerre</t>
        </is>
      </c>
      <c r="M60" s="70" t="inlineStr">
        <is>
          <t>Mâchouille</t>
        </is>
      </c>
      <c r="N60" s="70" t="inlineStr">
        <is>
          <t>Piqûre</t>
        </is>
      </c>
      <c r="O60" s="70" t="inlineStr">
        <is>
          <t>Hâte</t>
        </is>
      </c>
      <c r="P60" s="70" t="n"/>
      <c r="Q60" s="70">
        <f>COUNTA(K60:P60)</f>
        <v/>
      </c>
      <c r="R60" s="70" t="n"/>
    </row>
    <row r="61" ht="15" customHeight="1" s="42">
      <c r="A61" s="70" t="inlineStr">
        <is>
          <t>Sœur Gardienne</t>
        </is>
      </c>
      <c r="B61" s="51" t="inlineStr">
        <is>
          <t>Groupe 2</t>
        </is>
      </c>
      <c r="C61" s="70" t="n">
        <v>3</v>
      </c>
      <c r="D61" s="70" t="n">
        <v>2</v>
      </c>
      <c r="E61" s="70" t="inlineStr">
        <is>
          <t>Clic</t>
        </is>
      </c>
      <c r="F61" s="70" t="n"/>
      <c r="G61" s="70" t="n"/>
      <c r="H61" s="70" t="inlineStr">
        <is>
          <t>Acier</t>
        </is>
      </c>
      <c r="I61" s="70" t="inlineStr">
        <is>
          <t>Plus</t>
        </is>
      </c>
      <c r="J61" s="70" t="n"/>
      <c r="K61" s="70" t="inlineStr">
        <is>
          <t>Change-Vitesse</t>
        </is>
      </c>
      <c r="L61" s="70" t="inlineStr">
        <is>
          <t>Verrouillage</t>
        </is>
      </c>
      <c r="M61" s="70" t="inlineStr">
        <is>
          <t>Élecanon</t>
        </is>
      </c>
      <c r="N61" s="70" t="inlineStr">
        <is>
          <t>Change-Éclair</t>
        </is>
      </c>
      <c r="O61" s="70" t="inlineStr">
        <is>
          <t>Luminocanon</t>
        </is>
      </c>
      <c r="P61" s="70" t="n"/>
      <c r="Q61" s="70">
        <f>COUNTA(K61:P61)</f>
        <v/>
      </c>
      <c r="R61" s="70" t="n"/>
    </row>
    <row r="62" ht="15" customHeight="1" s="42">
      <c r="A62" s="70" t="inlineStr">
        <is>
          <t>Sœur Gardienne</t>
        </is>
      </c>
      <c r="B62" s="51" t="inlineStr">
        <is>
          <t>Groupe 2</t>
        </is>
      </c>
      <c r="C62" s="70" t="n">
        <v>3</v>
      </c>
      <c r="D62" s="70" t="n">
        <v>3</v>
      </c>
      <c r="E62" s="70" t="inlineStr">
        <is>
          <t>Bastiodon</t>
        </is>
      </c>
      <c r="F62" s="70" t="n"/>
      <c r="G62" s="70" t="n"/>
      <c r="H62" s="70" t="inlineStr">
        <is>
          <t>Roche-Acier</t>
        </is>
      </c>
      <c r="I62" s="70" t="inlineStr">
        <is>
          <t>Fermeté</t>
        </is>
      </c>
      <c r="J62" s="70" t="n"/>
      <c r="K62" s="70" t="inlineStr">
        <is>
          <t>Tacle Lourd</t>
        </is>
      </c>
      <c r="L62" s="70" t="inlineStr">
        <is>
          <t>Mur de Fer</t>
        </is>
      </c>
      <c r="M62" s="70" t="inlineStr">
        <is>
          <t>Tête de Fer</t>
        </is>
      </c>
      <c r="N62" s="70" t="inlineStr">
        <is>
          <t>Lame de Roc</t>
        </is>
      </c>
      <c r="O62" s="70" t="inlineStr">
        <is>
          <t>Séisme</t>
        </is>
      </c>
      <c r="P62" s="70" t="n"/>
      <c r="Q62" s="70">
        <f>COUNTA(K62:P62)</f>
        <v/>
      </c>
      <c r="R62" s="70" t="n"/>
    </row>
    <row r="63" ht="15" customHeight="1" s="42">
      <c r="A63" s="70" t="inlineStr">
        <is>
          <t>Sœur Gardienne</t>
        </is>
      </c>
      <c r="B63" s="51" t="inlineStr">
        <is>
          <t>Groupe 2</t>
        </is>
      </c>
      <c r="C63" s="70" t="n">
        <v>3</v>
      </c>
      <c r="D63" s="70" t="n">
        <v>4</v>
      </c>
      <c r="E63" s="70" t="inlineStr">
        <is>
          <t>Hypocéan</t>
        </is>
      </c>
      <c r="F63" s="70" t="n"/>
      <c r="G63" s="70" t="n"/>
      <c r="H63" s="70" t="inlineStr">
        <is>
          <t>Eau</t>
        </is>
      </c>
      <c r="I63" s="70" t="inlineStr">
        <is>
          <t>Sniper</t>
        </is>
      </c>
      <c r="J63" s="70" t="n"/>
      <c r="K63" s="70" t="inlineStr">
        <is>
          <t>Puissance</t>
        </is>
      </c>
      <c r="L63" s="70" t="inlineStr">
        <is>
          <t>Ébullition</t>
        </is>
      </c>
      <c r="M63" s="70" t="inlineStr">
        <is>
          <t>Draco-Choc</t>
        </is>
      </c>
      <c r="N63" s="70" t="inlineStr">
        <is>
          <t>Surf</t>
        </is>
      </c>
      <c r="O63" s="70" t="inlineStr">
        <is>
          <t>Laser Glace</t>
        </is>
      </c>
      <c r="P63" s="70" t="n"/>
      <c r="Q63" s="70">
        <f>COUNTA(K63:P63)</f>
        <v/>
      </c>
      <c r="R63" s="70" t="n"/>
    </row>
    <row r="64" ht="15" customHeight="1" s="42">
      <c r="A64" s="70" t="inlineStr">
        <is>
          <t>Sœur Gardienne</t>
        </is>
      </c>
      <c r="B64" s="51" t="inlineStr">
        <is>
          <t>Groupe 2</t>
        </is>
      </c>
      <c r="C64" s="70" t="n">
        <v>3</v>
      </c>
      <c r="D64" s="70" t="n">
        <v>5</v>
      </c>
      <c r="E64" s="70" t="inlineStr">
        <is>
          <t>Judokrak</t>
        </is>
      </c>
      <c r="F64" s="70" t="n"/>
      <c r="G64" s="70" t="n"/>
      <c r="H64" s="70" t="inlineStr">
        <is>
          <t>Combat</t>
        </is>
      </c>
      <c r="I64" s="70" t="inlineStr">
        <is>
          <t>Brise Moule</t>
        </is>
      </c>
      <c r="J64" s="70" t="n"/>
      <c r="K64" s="70" t="inlineStr">
        <is>
          <t>Étreinte</t>
        </is>
      </c>
      <c r="L64" s="70" t="inlineStr">
        <is>
          <t>Frappe Atlas</t>
        </is>
      </c>
      <c r="M64" s="70" t="inlineStr">
        <is>
          <t>Yama Arashi</t>
        </is>
      </c>
      <c r="N64" s="70" t="inlineStr">
        <is>
          <t>Projection</t>
        </is>
      </c>
      <c r="O64" s="70" t="inlineStr">
        <is>
          <t>Poing Éclair</t>
        </is>
      </c>
      <c r="P64" s="70" t="n"/>
      <c r="Q64" s="70">
        <f>COUNTA(K64:P64)</f>
        <v/>
      </c>
      <c r="R64" s="70" t="n"/>
    </row>
    <row r="65" ht="15" customHeight="1" s="42">
      <c r="A65" s="60" t="inlineStr">
        <is>
          <t>Sœur Pie</t>
        </is>
      </c>
      <c r="B65" s="53" t="inlineStr">
        <is>
          <t>Groupe 4</t>
        </is>
      </c>
      <c r="C65" s="60" t="n">
        <v>3</v>
      </c>
      <c r="D65" s="60" t="n">
        <v>1</v>
      </c>
      <c r="E65" s="60" t="inlineStr">
        <is>
          <t>Tessebi (Fakemon)</t>
        </is>
      </c>
      <c r="F65" s="60" t="inlineStr">
        <is>
          <t>Feiyan</t>
        </is>
      </c>
      <c r="G65" s="60" t="n"/>
      <c r="H65" s="60" t="inlineStr">
        <is>
          <t>Vol-Combat</t>
        </is>
      </c>
      <c r="I65" s="60" t="inlineStr">
        <is>
          <t>Danseuse</t>
        </is>
      </c>
      <c r="J65" s="60" t="n"/>
      <c r="K65" s="60" t="inlineStr">
        <is>
          <t>Danse Lames</t>
        </is>
      </c>
      <c r="L65" s="60" t="inlineStr">
        <is>
          <t>Pied Voltige</t>
        </is>
      </c>
      <c r="M65" s="60" t="inlineStr">
        <is>
          <t>Aéropique</t>
        </is>
      </c>
      <c r="N65" s="60" t="inlineStr">
        <is>
          <t>Riposte</t>
        </is>
      </c>
      <c r="O65" s="60" t="inlineStr">
        <is>
          <t>Vol</t>
        </is>
      </c>
      <c r="P65" s="60" t="inlineStr">
        <is>
          <t>Danse Plumes</t>
        </is>
      </c>
      <c r="Q65" s="60">
        <f>COUNTA(K65:P65)</f>
        <v/>
      </c>
      <c r="R65" s="60" t="n"/>
    </row>
    <row r="66" ht="15" customHeight="1" s="42">
      <c r="A66" s="60" t="inlineStr">
        <is>
          <t>Sœur Pie</t>
        </is>
      </c>
      <c r="B66" s="53" t="inlineStr">
        <is>
          <t>Groupe 4</t>
        </is>
      </c>
      <c r="C66" s="60" t="n">
        <v>3</v>
      </c>
      <c r="D66" s="60" t="n">
        <v>2</v>
      </c>
      <c r="E66" s="60" t="inlineStr">
        <is>
          <t>Feunard</t>
        </is>
      </c>
      <c r="F66" s="60" t="inlineStr">
        <is>
          <t>Jiuwei</t>
        </is>
      </c>
      <c r="G66" s="60" t="n"/>
      <c r="H66" s="60" t="inlineStr">
        <is>
          <t>Feu</t>
        </is>
      </c>
      <c r="I66" s="60" t="inlineStr">
        <is>
          <t>Torche</t>
        </is>
      </c>
      <c r="J66" s="60" t="n"/>
      <c r="K66" s="60" t="inlineStr">
        <is>
          <t>Lance-Flammes</t>
        </is>
      </c>
      <c r="L66" s="60" t="inlineStr">
        <is>
          <t>Feu Follet</t>
        </is>
      </c>
      <c r="M66" s="60" t="inlineStr">
        <is>
          <t>Onde Folie</t>
        </is>
      </c>
      <c r="N66" s="60" t="inlineStr">
        <is>
          <t>Vibrobscur</t>
        </is>
      </c>
      <c r="O66" s="60" t="inlineStr">
        <is>
          <t>Extrasenseur</t>
        </is>
      </c>
      <c r="P66" s="60" t="inlineStr">
        <is>
          <t>Machination</t>
        </is>
      </c>
      <c r="Q66" s="60">
        <f>COUNTA(K66:P66)</f>
        <v/>
      </c>
      <c r="R66" s="60" t="n"/>
    </row>
    <row r="67" ht="15" customHeight="1" s="42">
      <c r="A67" s="60" t="inlineStr">
        <is>
          <t>Sœur Pie</t>
        </is>
      </c>
      <c r="B67" s="53" t="inlineStr">
        <is>
          <t>Groupe 4</t>
        </is>
      </c>
      <c r="C67" s="60" t="n">
        <v>3</v>
      </c>
      <c r="D67" s="60" t="n">
        <v>3</v>
      </c>
      <c r="E67" s="60" t="inlineStr">
        <is>
          <t>Archéodong</t>
        </is>
      </c>
      <c r="F67" s="60" t="inlineStr">
        <is>
          <t>Zhong</t>
        </is>
      </c>
      <c r="G67" s="60" t="n"/>
      <c r="H67" s="60" t="inlineStr">
        <is>
          <t>Acier-Psy</t>
        </is>
      </c>
      <c r="I67" s="60" t="inlineStr">
        <is>
          <t>Lévitation</t>
        </is>
      </c>
      <c r="J67" s="60" t="n"/>
      <c r="K67" s="60" t="inlineStr">
        <is>
          <t>Extrasenseur</t>
        </is>
      </c>
      <c r="L67" s="60" t="inlineStr">
        <is>
          <t>Tête de Fer</t>
        </is>
      </c>
      <c r="M67" s="60" t="inlineStr">
        <is>
          <t>Hypnose</t>
        </is>
      </c>
      <c r="N67" s="60" t="inlineStr">
        <is>
          <t>Gyroballe</t>
        </is>
      </c>
      <c r="O67" s="60" t="inlineStr">
        <is>
          <t>Séisme</t>
        </is>
      </c>
      <c r="P67" s="60" t="inlineStr">
        <is>
          <t>Piège de Roc</t>
        </is>
      </c>
      <c r="Q67" s="60">
        <f>COUNTA(K67:P67)</f>
        <v/>
      </c>
      <c r="R67" s="60" t="n"/>
    </row>
    <row r="68" ht="15" customHeight="1" s="42">
      <c r="A68" s="60" t="inlineStr">
        <is>
          <t>Sœur Pie</t>
        </is>
      </c>
      <c r="B68" s="53" t="inlineStr">
        <is>
          <t>Groupe 4</t>
        </is>
      </c>
      <c r="C68" s="60" t="n">
        <v>3</v>
      </c>
      <c r="D68" s="60" t="n">
        <v>4</v>
      </c>
      <c r="E68" s="60" t="inlineStr">
        <is>
          <t>Ossatueur</t>
        </is>
      </c>
      <c r="F68" s="60" t="inlineStr">
        <is>
          <t>Petit Os</t>
        </is>
      </c>
      <c r="G68" s="60" t="n"/>
      <c r="H68" s="60" t="inlineStr">
        <is>
          <t>Sol</t>
        </is>
      </c>
      <c r="I68" s="60" t="inlineStr">
        <is>
          <t>Paratonnerre</t>
        </is>
      </c>
      <c r="J68" s="60" t="n"/>
      <c r="K68" s="60" t="inlineStr">
        <is>
          <t>Massd'Os</t>
        </is>
      </c>
      <c r="L68" s="60" t="inlineStr">
        <is>
          <t>Trépignement</t>
        </is>
      </c>
      <c r="M68" s="60" t="inlineStr">
        <is>
          <t>Éboulement</t>
        </is>
      </c>
      <c r="N68" s="60" t="inlineStr">
        <is>
          <t>Danse Lames</t>
        </is>
      </c>
      <c r="O68" s="60" t="inlineStr">
        <is>
          <t>Séisme</t>
        </is>
      </c>
      <c r="P68" s="60" t="inlineStr">
        <is>
          <t>Piège de Roc</t>
        </is>
      </c>
      <c r="Q68" s="60">
        <f>COUNTA(K68:P68)</f>
        <v/>
      </c>
      <c r="R68" s="60" t="n"/>
    </row>
    <row r="69" ht="15" customHeight="1" s="42">
      <c r="A69" s="60" t="inlineStr">
        <is>
          <t>Sœur Pie</t>
        </is>
      </c>
      <c r="B69" s="53" t="inlineStr">
        <is>
          <t>Groupe 4</t>
        </is>
      </c>
      <c r="C69" s="60" t="n">
        <v>3</v>
      </c>
      <c r="D69" s="60" t="n">
        <v>5</v>
      </c>
      <c r="E69" s="60" t="inlineStr">
        <is>
          <t>Pijako</t>
        </is>
      </c>
      <c r="F69" s="60" t="inlineStr">
        <is>
          <t>Xiaoxiao</t>
        </is>
      </c>
      <c r="G69" s="60" t="n"/>
      <c r="H69" s="60" t="inlineStr">
        <is>
          <t>Normal-Vol</t>
        </is>
      </c>
      <c r="I69" s="60" t="inlineStr">
        <is>
          <t>Regard Vif</t>
        </is>
      </c>
      <c r="J69" s="60" t="n"/>
      <c r="K69" s="60" t="inlineStr">
        <is>
          <t>Babil</t>
        </is>
      </c>
      <c r="L69" s="60" t="inlineStr">
        <is>
          <t>Mégaphone</t>
        </is>
      </c>
      <c r="M69" s="60" t="inlineStr">
        <is>
          <t>Ultrason</t>
        </is>
      </c>
      <c r="N69" s="60" t="inlineStr">
        <is>
          <t>Copie</t>
        </is>
      </c>
      <c r="O69" s="60" t="inlineStr">
        <is>
          <t>Lame d’Air</t>
        </is>
      </c>
      <c r="P69" s="60" t="inlineStr">
        <is>
          <t>Atterrissage</t>
        </is>
      </c>
      <c r="Q69" s="60">
        <f>COUNTA(K69:P69)</f>
        <v/>
      </c>
      <c r="R69" s="60" t="n"/>
    </row>
    <row r="70" ht="15" customHeight="1" s="42">
      <c r="A70" s="70" t="inlineStr">
        <is>
          <t>Frère Bihainebi (Denis)</t>
        </is>
      </c>
      <c r="B70" s="51" t="inlineStr">
        <is>
          <t>Groupe 2</t>
        </is>
      </c>
      <c r="C70" s="70" t="n">
        <v>2</v>
      </c>
      <c r="D70" s="70" t="n">
        <v>1</v>
      </c>
      <c r="E70" s="70" t="inlineStr">
        <is>
          <t>Grodoudou</t>
        </is>
      </c>
      <c r="F70" s="70" t="n"/>
      <c r="G70" s="70" t="n"/>
      <c r="H70" s="70" t="inlineStr">
        <is>
          <t>Normal-Fée</t>
        </is>
      </c>
      <c r="I70" s="70" t="inlineStr">
        <is>
          <t>Fouille</t>
        </is>
      </c>
      <c r="J70" s="70" t="n"/>
      <c r="K70" s="70" t="inlineStr">
        <is>
          <t>Implore</t>
        </is>
      </c>
      <c r="L70" s="70" t="inlineStr">
        <is>
          <t>Plaquage</t>
        </is>
      </c>
      <c r="M70" s="70" t="inlineStr">
        <is>
          <t>Stockage</t>
        </is>
      </c>
      <c r="N70" s="70" t="inlineStr">
        <is>
          <t>Photocopie</t>
        </is>
      </c>
      <c r="O70" s="70" t="inlineStr">
        <is>
          <t>Éclat Magique</t>
        </is>
      </c>
      <c r="P70" s="70" t="inlineStr">
        <is>
          <t>Vœu</t>
        </is>
      </c>
      <c r="Q70" s="70">
        <f>COUNTA(K70:P70)</f>
        <v/>
      </c>
      <c r="R70" s="70" t="n"/>
    </row>
    <row r="71" ht="15" customHeight="1" s="42">
      <c r="A71" s="70" t="inlineStr">
        <is>
          <t>Frère Bihainebi (Denis)</t>
        </is>
      </c>
      <c r="B71" s="51" t="inlineStr">
        <is>
          <t>Groupe 2</t>
        </is>
      </c>
      <c r="C71" s="70" t="n">
        <v>2</v>
      </c>
      <c r="D71" s="70" t="n">
        <v>2</v>
      </c>
      <c r="E71" s="70" t="inlineStr">
        <is>
          <t>Némélios</t>
        </is>
      </c>
      <c r="F71" s="70" t="n"/>
      <c r="G71" s="70" t="n"/>
      <c r="H71" s="70" t="inlineStr">
        <is>
          <t>Normal-Feu</t>
        </is>
      </c>
      <c r="I71" s="70" t="inlineStr">
        <is>
          <t>Tension</t>
        </is>
      </c>
      <c r="J71" s="70" t="n"/>
      <c r="K71" s="70" t="inlineStr">
        <is>
          <t>Lance-Flammes</t>
        </is>
      </c>
      <c r="L71" s="70" t="inlineStr">
        <is>
          <t>Rengorgement</t>
        </is>
      </c>
      <c r="M71" s="70" t="inlineStr">
        <is>
          <t>Coup d'Boule</t>
        </is>
      </c>
      <c r="N71" s="70" t="inlineStr">
        <is>
          <t>Râle Mâle</t>
        </is>
      </c>
      <c r="O71" s="70" t="inlineStr">
        <is>
          <t>Ultralaser</t>
        </is>
      </c>
      <c r="P71" s="70" t="inlineStr">
        <is>
          <t>Crocs Feu</t>
        </is>
      </c>
      <c r="Q71" s="70">
        <f>COUNTA(K71:P71)</f>
        <v/>
      </c>
      <c r="R71" s="70" t="n"/>
    </row>
    <row r="72" ht="15" customHeight="1" s="42">
      <c r="A72" s="70" t="inlineStr">
        <is>
          <t>Frère Bihainebi (Denis)</t>
        </is>
      </c>
      <c r="B72" s="51" t="inlineStr">
        <is>
          <t>Groupe 2</t>
        </is>
      </c>
      <c r="C72" s="70" t="n">
        <v>2</v>
      </c>
      <c r="D72" s="70" t="n">
        <v>3</v>
      </c>
      <c r="E72" s="70" t="inlineStr">
        <is>
          <t>Batracné</t>
        </is>
      </c>
      <c r="F72" s="70" t="n"/>
      <c r="G72" s="70" t="n"/>
      <c r="H72" s="70" t="inlineStr">
        <is>
          <t>Sol-Eau</t>
        </is>
      </c>
      <c r="I72" s="70" t="inlineStr">
        <is>
          <t>Absorbe Eau</t>
        </is>
      </c>
      <c r="J72" s="70" t="n"/>
      <c r="K72" s="70" t="inlineStr">
        <is>
          <t>Bulles d'O</t>
        </is>
      </c>
      <c r="L72" s="70" t="inlineStr">
        <is>
          <t>Brouhaha</t>
        </is>
      </c>
      <c r="M72" s="70" t="inlineStr">
        <is>
          <t>Tir de Boue</t>
        </is>
      </c>
      <c r="N72" s="70" t="inlineStr">
        <is>
          <t>Acide</t>
        </is>
      </c>
      <c r="O72" s="70" t="inlineStr">
        <is>
          <t>Repos</t>
        </is>
      </c>
      <c r="P72" s="70" t="inlineStr">
        <is>
          <t>Ronflement</t>
        </is>
      </c>
      <c r="Q72" s="70">
        <f>COUNTA(K72:P72)</f>
        <v/>
      </c>
      <c r="R72" s="70" t="n"/>
    </row>
    <row r="73" ht="15" customHeight="1" s="42">
      <c r="A73" s="70" t="inlineStr">
        <is>
          <t>Frère Bihainebi (Denis)</t>
        </is>
      </c>
      <c r="B73" s="51" t="inlineStr">
        <is>
          <t>Groupe 2</t>
        </is>
      </c>
      <c r="C73" s="70" t="n">
        <v>2</v>
      </c>
      <c r="D73" s="70" t="n">
        <v>4</v>
      </c>
      <c r="E73" s="70" t="inlineStr">
        <is>
          <t>Amassel</t>
        </is>
      </c>
      <c r="F73" s="70" t="n"/>
      <c r="G73" s="70" t="n"/>
      <c r="H73" s="70" t="inlineStr">
        <is>
          <t>Roche</t>
        </is>
      </c>
      <c r="I73" s="70" t="inlineStr">
        <is>
          <t>Corps Sain</t>
        </is>
      </c>
      <c r="J73" s="70" t="n"/>
      <c r="K73" s="70" t="inlineStr">
        <is>
          <t>Soin</t>
        </is>
      </c>
      <c r="L73" s="70" t="inlineStr">
        <is>
          <t>Mur de Fer</t>
        </is>
      </c>
      <c r="M73" s="70" t="inlineStr">
        <is>
          <t>Anti-Air</t>
        </is>
      </c>
      <c r="N73" s="70" t="inlineStr">
        <is>
          <t>Salaison</t>
        </is>
      </c>
      <c r="O73" s="70" t="inlineStr">
        <is>
          <t>Coup d'Boule</t>
        </is>
      </c>
      <c r="P73" s="70" t="inlineStr">
        <is>
          <t>Tunnel</t>
        </is>
      </c>
      <c r="Q73" s="70">
        <f>COUNTA(K73:P73)</f>
        <v/>
      </c>
      <c r="R73" s="70" t="n"/>
    </row>
    <row r="74" ht="15" customHeight="1" s="42">
      <c r="A74" s="60" t="inlineStr">
        <is>
          <t>Frère Dump</t>
        </is>
      </c>
      <c r="B74" s="51" t="inlineStr">
        <is>
          <t>Groupe 2</t>
        </is>
      </c>
      <c r="C74" s="60" t="n">
        <v>2</v>
      </c>
      <c r="D74" s="60" t="n">
        <v>1</v>
      </c>
      <c r="E74" s="60" t="inlineStr">
        <is>
          <t>Groret</t>
        </is>
      </c>
      <c r="F74" s="60" t="n"/>
      <c r="G74" s="60" t="n"/>
      <c r="H74" s="60" t="inlineStr">
        <is>
          <t>Psy</t>
        </is>
      </c>
      <c r="I74" s="60" t="inlineStr">
        <is>
          <t>Tempo Perso</t>
        </is>
      </c>
      <c r="J74" s="60" t="n"/>
      <c r="K74" s="60" t="inlineStr">
        <is>
          <t>Danse Folle</t>
        </is>
      </c>
      <c r="L74" s="60" t="inlineStr">
        <is>
          <t>Rafale Psy</t>
        </is>
      </c>
      <c r="M74" s="60" t="inlineStr">
        <is>
          <t>Rayon Gemme</t>
        </is>
      </c>
      <c r="N74" s="60" t="inlineStr">
        <is>
          <t>Rebond</t>
        </is>
      </c>
      <c r="O74" s="60" t="inlineStr">
        <is>
          <t>Choc Psy</t>
        </is>
      </c>
      <c r="P74" s="60" t="n"/>
      <c r="Q74" s="60">
        <f>COUNTA(K74:P74)</f>
        <v/>
      </c>
      <c r="R74" s="60" t="n"/>
    </row>
    <row r="75" ht="15" customHeight="1" s="42">
      <c r="A75" s="60" t="inlineStr">
        <is>
          <t>Frère Dump</t>
        </is>
      </c>
      <c r="B75" s="51" t="inlineStr">
        <is>
          <t>Groupe 2</t>
        </is>
      </c>
      <c r="C75" s="60" t="n">
        <v>2</v>
      </c>
      <c r="D75" s="60" t="n">
        <v>2</v>
      </c>
      <c r="E75" s="60" t="inlineStr">
        <is>
          <t>Arrozard</t>
        </is>
      </c>
      <c r="F75" s="60" t="n"/>
      <c r="G75" s="60" t="n"/>
      <c r="H75" s="60" t="inlineStr">
        <is>
          <t>Eau</t>
        </is>
      </c>
      <c r="I75" s="60" t="inlineStr">
        <is>
          <t>Sniper</t>
        </is>
      </c>
      <c r="J75" s="60" t="n"/>
      <c r="K75" s="60" t="inlineStr">
        <is>
          <t>Coup Bas</t>
        </is>
      </c>
      <c r="L75" s="60" t="inlineStr">
        <is>
          <t>Demi-Tour</t>
        </is>
      </c>
      <c r="M75" s="60" t="inlineStr">
        <is>
          <t>Vibraqua</t>
        </is>
      </c>
      <c r="N75" s="60" t="inlineStr">
        <is>
          <t>Détrempage</t>
        </is>
      </c>
      <c r="O75" s="60" t="inlineStr">
        <is>
          <t>Larme à l'Œil</t>
        </is>
      </c>
      <c r="P75" s="60" t="n"/>
      <c r="Q75" s="60">
        <f>COUNTA(K75:P75)</f>
        <v/>
      </c>
      <c r="R75" s="60" t="n"/>
    </row>
    <row r="76" ht="15" customHeight="1" s="42">
      <c r="A76" s="60" t="inlineStr">
        <is>
          <t>Frère Dump</t>
        </is>
      </c>
      <c r="B76" s="51" t="inlineStr">
        <is>
          <t>Groupe 2</t>
        </is>
      </c>
      <c r="C76" s="60" t="n">
        <v>2</v>
      </c>
      <c r="D76" s="60" t="n">
        <v>3</v>
      </c>
      <c r="E76" s="60" t="inlineStr">
        <is>
          <t>Cryodo</t>
        </is>
      </c>
      <c r="F76" s="60" t="n"/>
      <c r="G76" s="60" t="n"/>
      <c r="H76" s="60" t="inlineStr">
        <is>
          <t>Dragon-Glace</t>
        </is>
      </c>
      <c r="I76" s="60" t="inlineStr">
        <is>
          <t>Thermodynamique</t>
        </is>
      </c>
      <c r="J76" s="60" t="n"/>
      <c r="K76" s="60" t="inlineStr">
        <is>
          <t>Dracosouffle</t>
        </is>
      </c>
      <c r="L76" s="60" t="inlineStr">
        <is>
          <t>Crocs Givre</t>
        </is>
      </c>
      <c r="M76" s="60" t="inlineStr">
        <is>
          <t>Danse Lames</t>
        </is>
      </c>
      <c r="N76" s="60" t="inlineStr">
        <is>
          <t>Tunnel</t>
        </is>
      </c>
      <c r="O76" s="60" t="inlineStr">
        <is>
          <t>Draco-Griffe</t>
        </is>
      </c>
      <c r="P76" s="60" t="n"/>
      <c r="Q76" s="60">
        <f>COUNTA(K76:P76)</f>
        <v/>
      </c>
      <c r="R76" s="60" t="n"/>
    </row>
    <row r="77" ht="15" customHeight="1" s="42">
      <c r="A77" s="60" t="inlineStr">
        <is>
          <t>Frère Dump</t>
        </is>
      </c>
      <c r="B77" s="51" t="inlineStr">
        <is>
          <t>Groupe 2</t>
        </is>
      </c>
      <c r="C77" s="60" t="n">
        <v>2</v>
      </c>
      <c r="D77" s="60" t="n">
        <v>4</v>
      </c>
      <c r="E77" s="60" t="inlineStr">
        <is>
          <t>Mygavolt</t>
        </is>
      </c>
      <c r="F77" s="60" t="n"/>
      <c r="G77" s="60" t="n"/>
      <c r="H77" s="60" t="inlineStr">
        <is>
          <t>Insecte-Électrik</t>
        </is>
      </c>
      <c r="I77" s="60" t="inlineStr">
        <is>
          <t>Œil Composé</t>
        </is>
      </c>
      <c r="J77" s="60" t="n"/>
      <c r="K77" s="60" t="inlineStr">
        <is>
          <t>Toile Gluante</t>
        </is>
      </c>
      <c r="L77" s="60" t="inlineStr">
        <is>
          <t>Boule Élek</t>
        </is>
      </c>
      <c r="M77" s="60" t="inlineStr">
        <is>
          <t>Hâte</t>
        </is>
      </c>
      <c r="N77" s="60" t="inlineStr">
        <is>
          <t>Coup Bas</t>
        </is>
      </c>
      <c r="O77" s="60" t="inlineStr">
        <is>
          <t>Ravage Rampant</t>
        </is>
      </c>
      <c r="P77" s="60" t="n"/>
      <c r="Q77" s="60">
        <f>COUNTA(K77:P77)</f>
        <v/>
      </c>
      <c r="R77" s="60" t="n"/>
    </row>
    <row r="78" ht="15" customHeight="1" s="42">
      <c r="A78" s="70" t="inlineStr">
        <is>
          <t>Frère Pump</t>
        </is>
      </c>
      <c r="B78" s="51" t="inlineStr">
        <is>
          <t>Groupe 2</t>
        </is>
      </c>
      <c r="C78" s="70" t="n">
        <v>2</v>
      </c>
      <c r="D78" s="70" t="n">
        <v>1</v>
      </c>
      <c r="E78" s="70" t="inlineStr">
        <is>
          <t>Cadoizo</t>
        </is>
      </c>
      <c r="F78" s="70" t="n"/>
      <c r="G78" s="70" t="n"/>
      <c r="H78" s="70" t="inlineStr">
        <is>
          <t>Glace-Vol</t>
        </is>
      </c>
      <c r="I78" s="70" t="inlineStr">
        <is>
          <t>Insomnia</t>
        </is>
      </c>
      <c r="J78" s="70" t="n"/>
      <c r="K78" s="70" t="inlineStr">
        <is>
          <t>Cadeau</t>
        </is>
      </c>
      <c r="L78" s="70" t="inlineStr">
        <is>
          <t>Larcin</t>
        </is>
      </c>
      <c r="M78" s="70" t="inlineStr">
        <is>
          <t>Rebond</t>
        </is>
      </c>
      <c r="N78" s="70" t="inlineStr">
        <is>
          <t>Lyophilisation</t>
        </is>
      </c>
      <c r="O78" s="70" t="inlineStr">
        <is>
          <t>Douche Froide</t>
        </is>
      </c>
      <c r="P78" s="70" t="n"/>
      <c r="Q78" s="70">
        <f>COUNTA(K78:P78)</f>
        <v/>
      </c>
      <c r="R78" s="70" t="n"/>
    </row>
    <row r="79" ht="15" customHeight="1" s="42">
      <c r="A79" s="70" t="inlineStr">
        <is>
          <t>Frère Pump</t>
        </is>
      </c>
      <c r="B79" s="51" t="inlineStr">
        <is>
          <t>Groupe 2</t>
        </is>
      </c>
      <c r="C79" s="70" t="n">
        <v>2</v>
      </c>
      <c r="D79" s="70" t="n">
        <v>2</v>
      </c>
      <c r="E79" s="70" t="inlineStr">
        <is>
          <t>Chrysapile</t>
        </is>
      </c>
      <c r="F79" s="70" t="n"/>
      <c r="G79" s="70" t="n"/>
      <c r="H79" s="70" t="inlineStr">
        <is>
          <t>Insecte-Électrik</t>
        </is>
      </c>
      <c r="I79" s="70" t="inlineStr">
        <is>
          <t>Batterie</t>
        </is>
      </c>
      <c r="J79" s="70" t="n"/>
      <c r="K79" s="70" t="inlineStr">
        <is>
          <t>Chargeur</t>
        </is>
      </c>
      <c r="L79" s="70" t="inlineStr">
        <is>
          <t>Étincelle</t>
        </is>
      </c>
      <c r="M79" s="70" t="inlineStr">
        <is>
          <t>Toile Gluante</t>
        </is>
      </c>
      <c r="N79" s="70" t="inlineStr">
        <is>
          <t>Furie-Bond</t>
        </is>
      </c>
      <c r="O79" s="70" t="inlineStr">
        <is>
          <t>Mâchouille</t>
        </is>
      </c>
      <c r="P79" s="70" t="n"/>
      <c r="Q79" s="70">
        <f>COUNTA(K79:P79)</f>
        <v/>
      </c>
      <c r="R79" s="70" t="n"/>
    </row>
    <row r="80" ht="15" customHeight="1" s="42">
      <c r="A80" s="70" t="inlineStr">
        <is>
          <t>Frère Pump</t>
        </is>
      </c>
      <c r="B80" s="51" t="inlineStr">
        <is>
          <t>Groupe 2</t>
        </is>
      </c>
      <c r="C80" s="70" t="n">
        <v>2</v>
      </c>
      <c r="D80" s="70" t="n">
        <v>3</v>
      </c>
      <c r="E80" s="70" t="inlineStr">
        <is>
          <t>Amassel</t>
        </is>
      </c>
      <c r="F80" s="70" t="n"/>
      <c r="G80" s="70" t="n"/>
      <c r="H80" s="70" t="inlineStr">
        <is>
          <t>Roche</t>
        </is>
      </c>
      <c r="I80" s="70" t="inlineStr">
        <is>
          <t>Sel Purificateur</t>
        </is>
      </c>
      <c r="J80" s="70" t="n"/>
      <c r="K80" s="70" t="inlineStr">
        <is>
          <t>Salaison</t>
        </is>
      </c>
      <c r="L80" s="70" t="inlineStr">
        <is>
          <t>Anti-Air</t>
        </is>
      </c>
      <c r="M80" s="70" t="inlineStr">
        <is>
          <t>Tunnel</t>
        </is>
      </c>
      <c r="N80" s="70" t="inlineStr">
        <is>
          <t>Malédiction</t>
        </is>
      </c>
      <c r="O80" s="70" t="inlineStr">
        <is>
          <t>Repos</t>
        </is>
      </c>
      <c r="P80" s="70" t="n"/>
      <c r="Q80" s="70">
        <f>COUNTA(K80:P80)</f>
        <v/>
      </c>
      <c r="R80" s="70" t="n"/>
    </row>
    <row r="81" ht="15" customHeight="1" s="42">
      <c r="A81" s="70" t="inlineStr">
        <is>
          <t>Frère Pump</t>
        </is>
      </c>
      <c r="B81" s="51" t="inlineStr">
        <is>
          <t>Groupe 2</t>
        </is>
      </c>
      <c r="C81" s="70" t="n">
        <v>2</v>
      </c>
      <c r="D81" s="70" t="n">
        <v>4</v>
      </c>
      <c r="E81" s="70" t="inlineStr">
        <is>
          <t>Polagriffe</t>
        </is>
      </c>
      <c r="F81" s="70" t="n"/>
      <c r="G81" s="70" t="n"/>
      <c r="H81" s="70" t="inlineStr">
        <is>
          <t>Glace</t>
        </is>
      </c>
      <c r="I81" s="70" t="inlineStr">
        <is>
          <t>Glissade</t>
        </is>
      </c>
      <c r="J81" s="70" t="n"/>
      <c r="K81" s="70" t="inlineStr">
        <is>
          <t>Aqua-Jet</t>
        </is>
      </c>
      <c r="L81" s="70" t="inlineStr">
        <is>
          <t>Souffle Glacé</t>
        </is>
      </c>
      <c r="M81" s="70" t="inlineStr">
        <is>
          <t>Chute Glace</t>
        </is>
      </c>
      <c r="N81" s="70" t="inlineStr">
        <is>
          <t>Charme</t>
        </is>
      </c>
      <c r="O81" s="70" t="inlineStr">
        <is>
          <t>Piétisol</t>
        </is>
      </c>
      <c r="P81" s="70" t="n"/>
      <c r="Q81" s="70">
        <f>COUNTA(K81:P81)</f>
        <v/>
      </c>
      <c r="R81" s="70" t="n"/>
    </row>
    <row r="82" ht="15" customHeight="1" s="42">
      <c r="A82" s="60" t="inlineStr">
        <is>
          <t>Frère Tigre</t>
        </is>
      </c>
      <c r="B82" s="48" t="inlineStr">
        <is>
          <t>Groupe 1 - Famille Raccourci</t>
        </is>
      </c>
      <c r="C82" s="60" t="n">
        <v>2</v>
      </c>
      <c r="D82" s="60" t="n">
        <v>1</v>
      </c>
      <c r="E82" s="60" t="inlineStr">
        <is>
          <t>Bleuseille</t>
        </is>
      </c>
      <c r="F82" s="60" t="n"/>
      <c r="G82" s="60" t="n"/>
      <c r="H82" s="60" t="inlineStr">
        <is>
          <t>Vol</t>
        </is>
      </c>
      <c r="I82" s="60" t="inlineStr">
        <is>
          <t>Cœur de Coq</t>
        </is>
      </c>
      <c r="J82" s="60" t="n"/>
      <c r="K82" s="60" t="inlineStr">
        <is>
          <t>Picore</t>
        </is>
      </c>
      <c r="L82" s="60" t="inlineStr">
        <is>
          <t>Arrogance</t>
        </is>
      </c>
      <c r="M82" s="60" t="inlineStr">
        <is>
          <t>Aiguisage</t>
        </is>
      </c>
      <c r="N82" s="60" t="inlineStr">
        <is>
          <t>Provoc</t>
        </is>
      </c>
      <c r="O82" s="60" t="inlineStr">
        <is>
          <t>Vendetta</t>
        </is>
      </c>
      <c r="P82" s="60" t="inlineStr">
        <is>
          <t>Grimace</t>
        </is>
      </c>
      <c r="Q82" s="60">
        <f>COUNTA(K82:P82)</f>
        <v/>
      </c>
      <c r="R82" s="60" t="n"/>
    </row>
    <row r="83" ht="15" customHeight="1" s="42">
      <c r="A83" s="60" t="inlineStr">
        <is>
          <t>Frère Tigre</t>
        </is>
      </c>
      <c r="B83" s="48" t="inlineStr">
        <is>
          <t>Groupe 1 - Famille Raccourci</t>
        </is>
      </c>
      <c r="C83" s="60" t="n">
        <v>2</v>
      </c>
      <c r="D83" s="60" t="n">
        <v>2</v>
      </c>
      <c r="E83" s="60" t="inlineStr">
        <is>
          <t>Flamenroule</t>
        </is>
      </c>
      <c r="F83" s="60" t="n"/>
      <c r="G83" s="60" t="n"/>
      <c r="H83" s="60" t="inlineStr">
        <is>
          <t>Vol-Combat</t>
        </is>
      </c>
      <c r="I83" s="60" t="inlineStr">
        <is>
          <t>Querelleur</t>
        </is>
      </c>
      <c r="J83" s="60" t="n"/>
      <c r="K83" s="60" t="inlineStr">
        <is>
          <t>Cru-Ailes</t>
        </is>
      </c>
      <c r="L83" s="60" t="inlineStr">
        <is>
          <t>Balayage</t>
        </is>
      </c>
      <c r="M83" s="60" t="inlineStr">
        <is>
          <t>Représailles</t>
        </is>
      </c>
      <c r="N83" s="60" t="inlineStr">
        <is>
          <t>Détection</t>
        </is>
      </c>
      <c r="O83" s="60" t="inlineStr">
        <is>
          <t>Double Pied</t>
        </is>
      </c>
      <c r="P83" s="60" t="inlineStr">
        <is>
          <t>Aqua-Brèche</t>
        </is>
      </c>
      <c r="Q83" s="60">
        <f>COUNTA(K83:P83)</f>
        <v/>
      </c>
      <c r="R83" s="60" t="n"/>
    </row>
    <row r="84" ht="15" customHeight="1" s="42">
      <c r="A84" s="60" t="inlineStr">
        <is>
          <t>Frère Tigre</t>
        </is>
      </c>
      <c r="B84" s="48" t="inlineStr">
        <is>
          <t>Groupe 1 - Famille Raccourci</t>
        </is>
      </c>
      <c r="C84" s="60" t="n">
        <v>2</v>
      </c>
      <c r="D84" s="60" t="n">
        <v>3</v>
      </c>
      <c r="E84" s="60" t="inlineStr">
        <is>
          <t>Absol</t>
        </is>
      </c>
      <c r="F84" s="60" t="n"/>
      <c r="G84" s="60" t="n"/>
      <c r="H84" s="60" t="inlineStr">
        <is>
          <t>Ténèbres</t>
        </is>
      </c>
      <c r="I84" s="60" t="inlineStr">
        <is>
          <t>Chanceux</t>
        </is>
      </c>
      <c r="J84" s="60" t="n"/>
      <c r="K84" s="60" t="inlineStr">
        <is>
          <t>Tranche-Nuit</t>
        </is>
      </c>
      <c r="L84" s="60" t="inlineStr">
        <is>
          <t>Provoc</t>
        </is>
      </c>
      <c r="M84" s="60" t="inlineStr">
        <is>
          <t>Tranche</t>
        </is>
      </c>
      <c r="N84" s="60" t="inlineStr">
        <is>
          <t>Détection</t>
        </is>
      </c>
      <c r="O84" s="60" t="inlineStr">
        <is>
          <t>Vive-Attaque</t>
        </is>
      </c>
      <c r="P84" s="60" t="inlineStr">
        <is>
          <t>Griffe Ombre</t>
        </is>
      </c>
      <c r="Q84" s="60">
        <f>COUNTA(K84:P84)</f>
        <v/>
      </c>
      <c r="R84" s="60" t="n"/>
    </row>
    <row r="85" ht="15" customHeight="1" s="42">
      <c r="A85" s="60" t="inlineStr">
        <is>
          <t>Frère Tigre</t>
        </is>
      </c>
      <c r="B85" s="48" t="inlineStr">
        <is>
          <t>Groupe 1 - Famille Raccourci</t>
        </is>
      </c>
      <c r="C85" s="60" t="n">
        <v>2</v>
      </c>
      <c r="D85" s="60" t="n">
        <v>4</v>
      </c>
      <c r="E85" s="60" t="inlineStr">
        <is>
          <t>Escroco</t>
        </is>
      </c>
      <c r="F85" s="60" t="n"/>
      <c r="G85" s="60" t="n"/>
      <c r="H85" s="60" t="inlineStr">
        <is>
          <t>Sol-Ténèbres</t>
        </is>
      </c>
      <c r="I85" s="60" t="inlineStr">
        <is>
          <t>Intimidation</t>
        </is>
      </c>
      <c r="J85" s="60" t="n"/>
      <c r="K85" s="60" t="inlineStr">
        <is>
          <t>Mâchouille</t>
        </is>
      </c>
      <c r="L85" s="60" t="inlineStr">
        <is>
          <t>Vantardise</t>
        </is>
      </c>
      <c r="M85" s="60" t="inlineStr">
        <is>
          <t>Tunnel</t>
        </is>
      </c>
      <c r="N85" s="60" t="inlineStr">
        <is>
          <t>Tourmente</t>
        </is>
      </c>
      <c r="O85" s="60" t="inlineStr">
        <is>
          <t>Groz'Yeux</t>
        </is>
      </c>
      <c r="P85" s="60" t="inlineStr">
        <is>
          <t>Crocs Éclair</t>
        </is>
      </c>
      <c r="Q85" s="60">
        <f>COUNTA(K85:P85)</f>
        <v/>
      </c>
      <c r="R85" s="60" t="n"/>
    </row>
    <row r="86" ht="15" customHeight="1" s="42">
      <c r="A86" s="70" t="inlineStr">
        <is>
          <t>Frère Junior</t>
        </is>
      </c>
      <c r="B86" s="53" t="inlineStr">
        <is>
          <t>Groupe 4</t>
        </is>
      </c>
      <c r="C86" s="70" t="n">
        <v>1</v>
      </c>
      <c r="D86" s="70" t="n">
        <v>1</v>
      </c>
      <c r="E86" s="70" t="inlineStr">
        <is>
          <t>Rattata</t>
        </is>
      </c>
      <c r="F86" s="70" t="n"/>
      <c r="G86" s="70" t="n"/>
      <c r="H86" s="70" t="inlineStr">
        <is>
          <t>Normal</t>
        </is>
      </c>
      <c r="I86" s="70" t="inlineStr">
        <is>
          <t>Agitation</t>
        </is>
      </c>
      <c r="J86" s="70" t="n"/>
      <c r="K86" s="70" t="inlineStr">
        <is>
          <t>Vive-Attaque</t>
        </is>
      </c>
      <c r="L86" s="70" t="inlineStr">
        <is>
          <t>Morsure</t>
        </is>
      </c>
      <c r="M86" s="70" t="inlineStr">
        <is>
          <t>Croc Fatal</t>
        </is>
      </c>
      <c r="N86" s="70" t="inlineStr">
        <is>
          <t>Mimi-Queue</t>
        </is>
      </c>
      <c r="O86" s="70" t="inlineStr">
        <is>
          <t>Roue de Feu</t>
        </is>
      </c>
      <c r="P86" s="70" t="n"/>
      <c r="Q86" s="70">
        <f>COUNTA(K86:P86)</f>
        <v/>
      </c>
      <c r="R86" s="70" t="n"/>
    </row>
    <row r="87" ht="15" customHeight="1" s="42">
      <c r="A87" s="70" t="inlineStr">
        <is>
          <t>Frère Junior</t>
        </is>
      </c>
      <c r="B87" s="53" t="inlineStr">
        <is>
          <t>Groupe 4</t>
        </is>
      </c>
      <c r="C87" s="70" t="n">
        <v>1</v>
      </c>
      <c r="D87" s="70" t="n">
        <v>2</v>
      </c>
      <c r="E87" s="70" t="inlineStr">
        <is>
          <t>Rocabot</t>
        </is>
      </c>
      <c r="F87" s="70" t="n"/>
      <c r="G87" s="70" t="n"/>
      <c r="H87" s="70" t="inlineStr">
        <is>
          <t>Roche</t>
        </is>
      </c>
      <c r="I87" s="70" t="inlineStr">
        <is>
          <t>Regard Vif</t>
        </is>
      </c>
      <c r="J87" s="70" t="n"/>
      <c r="K87" s="70" t="inlineStr">
        <is>
          <t>Jet-Sable</t>
        </is>
      </c>
      <c r="L87" s="70" t="inlineStr">
        <is>
          <t>Jet-Pierre</t>
        </is>
      </c>
      <c r="M87" s="70" t="inlineStr">
        <is>
          <t>Grondement</t>
        </is>
      </c>
      <c r="N87" s="70" t="inlineStr">
        <is>
          <t>Charge</t>
        </is>
      </c>
      <c r="O87" s="70" t="inlineStr">
        <is>
          <t>Reflet</t>
        </is>
      </c>
      <c r="P87" s="70" t="n"/>
      <c r="Q87" s="70">
        <f>COUNTA(K87:P87)</f>
        <v/>
      </c>
      <c r="R87" s="70" t="n"/>
    </row>
    <row r="88" ht="15" customHeight="1" s="42">
      <c r="A88" s="70" t="inlineStr">
        <is>
          <t>Frère Junior</t>
        </is>
      </c>
      <c r="B88" s="53" t="inlineStr">
        <is>
          <t>Groupe 4</t>
        </is>
      </c>
      <c r="C88" s="70" t="n">
        <v>1</v>
      </c>
      <c r="D88" s="70" t="n">
        <v>3</v>
      </c>
      <c r="E88" s="70" t="inlineStr">
        <is>
          <t>Feuillajou</t>
        </is>
      </c>
      <c r="F88" s="70" t="n"/>
      <c r="G88" s="70" t="n"/>
      <c r="H88" s="70" t="inlineStr">
        <is>
          <t>Plante</t>
        </is>
      </c>
      <c r="I88" s="70" t="inlineStr">
        <is>
          <t>Engrais</t>
        </is>
      </c>
      <c r="J88" s="70" t="n"/>
      <c r="K88" s="70" t="inlineStr">
        <is>
          <t>Léchouille</t>
        </is>
      </c>
      <c r="L88" s="70" t="inlineStr">
        <is>
          <t>Fouet Lianes</t>
        </is>
      </c>
      <c r="M88" s="70" t="inlineStr">
        <is>
          <t>Rengorgement</t>
        </is>
      </c>
      <c r="N88" s="70" t="inlineStr">
        <is>
          <t>Vampigraine</t>
        </is>
      </c>
      <c r="O88" s="70" t="inlineStr">
        <is>
          <t>Charge</t>
        </is>
      </c>
      <c r="P88" s="70" t="n"/>
      <c r="Q88" s="70">
        <f>COUNTA(K88:P88)</f>
        <v/>
      </c>
      <c r="R88" s="70" t="n"/>
    </row>
    <row r="89" ht="15" customHeight="1" s="42">
      <c r="A89" s="60" t="inlineStr">
        <is>
          <t>Frère Nasse</t>
        </is>
      </c>
      <c r="B89" s="57" t="inlineStr">
        <is>
          <t>Sans groupe (restants)</t>
        </is>
      </c>
      <c r="C89" s="60" t="n">
        <v>1</v>
      </c>
      <c r="D89" s="60" t="n">
        <v>1</v>
      </c>
      <c r="E89" s="60" t="inlineStr">
        <is>
          <t>Desséliande</t>
        </is>
      </c>
      <c r="F89" s="60" t="n"/>
      <c r="G89" s="60" t="n"/>
      <c r="H89" s="60" t="inlineStr">
        <is>
          <t>Plante-Spectre</t>
        </is>
      </c>
      <c r="I89" s="60" t="inlineStr">
        <is>
          <t>Récolte</t>
        </is>
      </c>
      <c r="J89" s="60" t="n"/>
      <c r="K89" s="60" t="inlineStr">
        <is>
          <t>Maléfice Sylvain</t>
        </is>
      </c>
      <c r="L89" s="60" t="inlineStr">
        <is>
          <t>Hantise</t>
        </is>
      </c>
      <c r="M89" s="60" t="inlineStr">
        <is>
          <t>Griffe Ombre</t>
        </is>
      </c>
      <c r="N89" s="60" t="inlineStr">
        <is>
          <t>Encornebois</t>
        </is>
      </c>
      <c r="O89" s="60" t="inlineStr">
        <is>
          <t>Giga-Sangsue</t>
        </is>
      </c>
      <c r="P89" s="60" t="n"/>
      <c r="Q89" s="60">
        <f>COUNTA(K89:P89)</f>
        <v/>
      </c>
      <c r="R89" s="60" t="n"/>
    </row>
    <row r="90" ht="15" customHeight="1" s="42">
      <c r="A90" s="60" t="inlineStr">
        <is>
          <t>Frère Nasse</t>
        </is>
      </c>
      <c r="B90" s="57" t="inlineStr">
        <is>
          <t>Sans groupe (restants)</t>
        </is>
      </c>
      <c r="C90" s="60" t="n">
        <v>1</v>
      </c>
      <c r="D90" s="60" t="n">
        <v>2</v>
      </c>
      <c r="E90" s="60" t="inlineStr">
        <is>
          <t>Élecsprint</t>
        </is>
      </c>
      <c r="F90" s="60" t="n"/>
      <c r="G90" s="60" t="n"/>
      <c r="H90" s="60" t="inlineStr">
        <is>
          <t>Électrik</t>
        </is>
      </c>
      <c r="I90" s="60" t="inlineStr">
        <is>
          <t>Paratonnerre</t>
        </is>
      </c>
      <c r="J90" s="60" t="n"/>
      <c r="K90" s="60" t="inlineStr">
        <is>
          <t>Tonnerre</t>
        </is>
      </c>
      <c r="L90" s="60" t="inlineStr">
        <is>
          <t>Crocs Givre</t>
        </is>
      </c>
      <c r="M90" s="60" t="inlineStr">
        <is>
          <t>Lance-Flammes</t>
        </is>
      </c>
      <c r="N90" s="60" t="inlineStr">
        <is>
          <t>Vive-Attaque</t>
        </is>
      </c>
      <c r="O90" s="60" t="inlineStr">
        <is>
          <t>Change Éclair</t>
        </is>
      </c>
      <c r="P90" s="60" t="n"/>
      <c r="Q90" s="60">
        <f>COUNTA(K90:P90)</f>
        <v/>
      </c>
      <c r="R90" s="60" t="n"/>
    </row>
    <row r="91" ht="15" customHeight="1" s="42">
      <c r="A91" s="60" t="inlineStr">
        <is>
          <t>Frère Nasse</t>
        </is>
      </c>
      <c r="B91" s="57" t="inlineStr">
        <is>
          <t>Sans groupe (restants)</t>
        </is>
      </c>
      <c r="C91" s="60" t="n">
        <v>1</v>
      </c>
      <c r="D91" s="60" t="n">
        <v>3</v>
      </c>
      <c r="E91" s="60" t="inlineStr">
        <is>
          <t>Gambex</t>
        </is>
      </c>
      <c r="F91" s="60" t="n"/>
      <c r="G91" s="60" t="n"/>
      <c r="H91" s="60" t="inlineStr">
        <is>
          <t>Insecte-Ténèbres</t>
        </is>
      </c>
      <c r="I91" s="60" t="inlineStr">
        <is>
          <t>Essaim</t>
        </is>
      </c>
      <c r="J91" s="60" t="n"/>
      <c r="K91" s="60" t="inlineStr">
        <is>
          <t>Escarmouche</t>
        </is>
      </c>
      <c r="L91" s="60" t="inlineStr">
        <is>
          <t>Coup Bas</t>
        </is>
      </c>
      <c r="M91" s="60" t="inlineStr">
        <is>
          <t>Vampirisme</t>
        </is>
      </c>
      <c r="N91" s="60" t="inlineStr">
        <is>
          <t>Sabotage</t>
        </is>
      </c>
      <c r="O91" s="60" t="inlineStr">
        <is>
          <t>Demi-Tour</t>
        </is>
      </c>
      <c r="P91" s="60" t="n"/>
      <c r="Q91" s="60">
        <f>COUNTA(K91:P91)</f>
        <v/>
      </c>
      <c r="R91" s="60" t="n"/>
    </row>
    <row r="92" ht="15" customHeight="1" s="42">
      <c r="A92" s="70" t="inlineStr">
        <is>
          <t>Frère Passe</t>
        </is>
      </c>
      <c r="B92" s="48" t="inlineStr">
        <is>
          <t>Groupe 1 - Famille Raccourci</t>
        </is>
      </c>
      <c r="C92" s="70" t="n">
        <v>1</v>
      </c>
      <c r="D92" s="70" t="n">
        <v>1</v>
      </c>
      <c r="E92" s="70" t="inlineStr">
        <is>
          <t>Stari</t>
        </is>
      </c>
      <c r="F92" s="70" t="n"/>
      <c r="G92" s="70" t="n"/>
      <c r="H92" s="70" t="inlineStr">
        <is>
          <t>Eau</t>
        </is>
      </c>
      <c r="I92" s="70" t="inlineStr">
        <is>
          <t>Médic Nature</t>
        </is>
      </c>
      <c r="J92" s="70" t="n"/>
      <c r="K92" s="70" t="inlineStr">
        <is>
          <t>Bulles d'O</t>
        </is>
      </c>
      <c r="L92" s="70" t="inlineStr">
        <is>
          <t>Soin</t>
        </is>
      </c>
      <c r="M92" s="70" t="inlineStr">
        <is>
          <t>Tour Rapide</t>
        </is>
      </c>
      <c r="N92" s="70" t="inlineStr">
        <is>
          <t>Météores</t>
        </is>
      </c>
      <c r="O92" s="70" t="inlineStr">
        <is>
          <t>Camouflage</t>
        </is>
      </c>
      <c r="P92" s="70" t="n"/>
      <c r="Q92" s="70">
        <f>COUNTA(K92:P92)</f>
        <v/>
      </c>
      <c r="R92" s="70" t="n"/>
    </row>
    <row r="93" ht="15" customHeight="1" s="42">
      <c r="A93" s="70" t="inlineStr">
        <is>
          <t>Frère Passe</t>
        </is>
      </c>
      <c r="B93" s="48" t="inlineStr">
        <is>
          <t>Groupe 1 - Famille Raccourci</t>
        </is>
      </c>
      <c r="C93" s="70" t="n">
        <v>1</v>
      </c>
      <c r="D93" s="70" t="n">
        <v>2</v>
      </c>
      <c r="E93" s="70" t="inlineStr">
        <is>
          <t>Toutombe</t>
        </is>
      </c>
      <c r="F93" s="70" t="n"/>
      <c r="G93" s="70" t="n"/>
      <c r="H93" s="70" t="inlineStr">
        <is>
          <t>Spectre</t>
        </is>
      </c>
      <c r="I93" s="70" t="inlineStr">
        <is>
          <t>Toison Épaisse</t>
        </is>
      </c>
      <c r="J93" s="70" t="n"/>
      <c r="K93" s="70" t="inlineStr">
        <is>
          <t>Ombre Portée</t>
        </is>
      </c>
      <c r="L93" s="70" t="inlineStr">
        <is>
          <t>Léchouille</t>
        </is>
      </c>
      <c r="M93" s="70" t="inlineStr">
        <is>
          <t>Brouillard</t>
        </is>
      </c>
      <c r="N93" s="70" t="inlineStr">
        <is>
          <t>Hurlement</t>
        </is>
      </c>
      <c r="O93" s="70" t="inlineStr">
        <is>
          <t>Coup d'Boule</t>
        </is>
      </c>
      <c r="P93" s="70" t="inlineStr">
        <is>
          <t>Aboiement</t>
        </is>
      </c>
      <c r="Q93" s="70">
        <f>COUNTA(K93:P93)</f>
        <v/>
      </c>
      <c r="R93" s="70" t="n"/>
    </row>
    <row r="94" ht="15" customHeight="1" s="42">
      <c r="A94" s="70" t="inlineStr">
        <is>
          <t>Frère Passe</t>
        </is>
      </c>
      <c r="B94" s="48" t="inlineStr">
        <is>
          <t>Groupe 1 - Famille Raccourci</t>
        </is>
      </c>
      <c r="C94" s="70" t="n">
        <v>1</v>
      </c>
      <c r="D94" s="70" t="n">
        <v>3</v>
      </c>
      <c r="E94" s="70" t="inlineStr">
        <is>
          <t>Lilliterelle</t>
        </is>
      </c>
      <c r="F94" s="70" t="n"/>
      <c r="G94" s="70" t="n"/>
      <c r="H94" s="70" t="inlineStr">
        <is>
          <t>Insecte</t>
        </is>
      </c>
      <c r="I94" s="70" t="inlineStr">
        <is>
          <t>Lentiteintée</t>
        </is>
      </c>
      <c r="J94" s="70" t="n"/>
      <c r="K94" s="70" t="inlineStr">
        <is>
          <t>Assurance</t>
        </is>
      </c>
      <c r="L94" s="70" t="inlineStr">
        <is>
          <t>Double Pied</t>
        </is>
      </c>
      <c r="M94" s="70" t="inlineStr">
        <is>
          <t>Strido-Son</t>
        </is>
      </c>
      <c r="N94" s="70" t="inlineStr">
        <is>
          <t>Piqûre</t>
        </is>
      </c>
      <c r="O94" s="70" t="inlineStr">
        <is>
          <t>Ténacité</t>
        </is>
      </c>
      <c r="P94" s="70" t="n"/>
      <c r="Q94" s="70">
        <f>COUNTA(K94:P94)</f>
        <v/>
      </c>
      <c r="R94" s="70" t="n"/>
    </row>
    <row r="95" ht="15" customHeight="1" s="42">
      <c r="A95" s="60" t="inlineStr">
        <is>
          <t>Sœur Ours</t>
        </is>
      </c>
      <c r="B95" s="55" t="inlineStr">
        <is>
          <t>Groupe 3</t>
        </is>
      </c>
      <c r="C95" s="60" t="n">
        <v>1</v>
      </c>
      <c r="D95" s="60" t="n">
        <v>1</v>
      </c>
      <c r="E95" s="60" t="inlineStr">
        <is>
          <t>Ursaring</t>
        </is>
      </c>
      <c r="F95" s="60" t="n"/>
      <c r="G95" s="60" t="n"/>
      <c r="H95" s="72" t="inlineStr">
        <is>
          <t>Normal</t>
        </is>
      </c>
      <c r="I95" s="60" t="inlineStr">
        <is>
          <t>Cran</t>
        </is>
      </c>
      <c r="J95" s="60" t="n"/>
      <c r="K95" s="60" t="inlineStr">
        <is>
          <t>Implore</t>
        </is>
      </c>
      <c r="L95" s="60" t="inlineStr">
        <is>
          <t>Marto-Poing</t>
        </is>
      </c>
      <c r="M95" s="60" t="inlineStr">
        <is>
          <t>Tranche</t>
        </is>
      </c>
      <c r="N95" s="60" t="inlineStr">
        <is>
          <t>Mania</t>
        </is>
      </c>
      <c r="O95" s="60" t="n"/>
      <c r="P95" s="60" t="n"/>
      <c r="Q95" s="60">
        <f>COUNTA(K95:P95)</f>
        <v/>
      </c>
      <c r="R95" s="60" t="n"/>
    </row>
    <row r="96" ht="15" customHeight="1" s="42">
      <c r="A96" s="60" t="inlineStr">
        <is>
          <t>Sœur Ours</t>
        </is>
      </c>
      <c r="B96" s="55" t="inlineStr">
        <is>
          <t>Groupe 3</t>
        </is>
      </c>
      <c r="C96" s="60" t="n">
        <v>1</v>
      </c>
      <c r="D96" s="60" t="n">
        <v>2</v>
      </c>
      <c r="E96" s="60" t="inlineStr">
        <is>
          <t>Maskadra</t>
        </is>
      </c>
      <c r="F96" s="60" t="n"/>
      <c r="G96" s="60" t="n"/>
      <c r="H96" s="72" t="inlineStr">
        <is>
          <t>Insecte-Vol</t>
        </is>
      </c>
      <c r="I96" s="60" t="inlineStr">
        <is>
          <t>Intimidation</t>
        </is>
      </c>
      <c r="J96" s="60" t="n"/>
      <c r="K96" s="60" t="inlineStr">
        <is>
          <t>Papillodanse</t>
        </is>
      </c>
      <c r="L96" s="60" t="inlineStr">
        <is>
          <t>Tranch'Air</t>
        </is>
      </c>
      <c r="M96" s="60" t="inlineStr">
        <is>
          <t>Vent Argenté</t>
        </is>
      </c>
      <c r="N96" s="60" t="inlineStr">
        <is>
          <t>Laser Glace</t>
        </is>
      </c>
      <c r="O96" s="60" t="n"/>
      <c r="P96" s="60" t="n"/>
      <c r="Q96" s="60">
        <f>COUNTA(K96:P96)</f>
        <v/>
      </c>
      <c r="R96" s="60" t="n"/>
    </row>
    <row r="97" ht="15" customHeight="1" s="42">
      <c r="A97" s="60" t="inlineStr">
        <is>
          <t>Sœur Ours</t>
        </is>
      </c>
      <c r="B97" s="55" t="inlineStr">
        <is>
          <t>Groupe 3</t>
        </is>
      </c>
      <c r="C97" s="60" t="n">
        <v>1</v>
      </c>
      <c r="D97" s="60" t="n">
        <v>3</v>
      </c>
      <c r="E97" s="60" t="inlineStr">
        <is>
          <t>Chamallot</t>
        </is>
      </c>
      <c r="F97" s="60" t="n"/>
      <c r="G97" s="60" t="n"/>
      <c r="H97" s="72" t="inlineStr">
        <is>
          <t>Feu-Sol</t>
        </is>
      </c>
      <c r="I97" s="60" t="inlineStr">
        <is>
          <t>Tempo Perso</t>
        </is>
      </c>
      <c r="J97" s="60" t="n"/>
      <c r="K97" s="60" t="inlineStr">
        <is>
          <t>Ébullilave</t>
        </is>
      </c>
      <c r="L97" s="60" t="inlineStr">
        <is>
          <t>Telluriforce</t>
        </is>
      </c>
      <c r="M97" s="60" t="inlineStr">
        <is>
          <t>Nitrocharge</t>
        </is>
      </c>
      <c r="N97" s="60" t="inlineStr">
        <is>
          <t>Psykoud'Boul</t>
        </is>
      </c>
      <c r="O97" s="60" t="n"/>
      <c r="P97" s="60" t="n"/>
      <c r="Q97" s="60">
        <f>COUNTA(K97:P97)</f>
        <v/>
      </c>
      <c r="R97" s="60" t="n"/>
    </row>
    <row r="98" ht="15" customHeight="1" s="42">
      <c r="A98" s="59" t="inlineStr">
        <is>
          <t>Frère Dark</t>
        </is>
      </c>
      <c r="B98" s="55" t="inlineStr">
        <is>
          <t>Groupe 3</t>
        </is>
      </c>
      <c r="C98" s="70" t="n">
        <v>0</v>
      </c>
      <c r="D98" s="70" t="n">
        <v>1</v>
      </c>
      <c r="E98" s="70" t="inlineStr">
        <is>
          <t>Malvalame</t>
        </is>
      </c>
      <c r="F98" s="70" t="inlineStr">
        <is>
          <t>Vador</t>
        </is>
      </c>
      <c r="G98" s="70" t="inlineStr">
        <is>
          <t>♂</t>
        </is>
      </c>
      <c r="H98" s="70" t="inlineStr">
        <is>
          <t>Feu-Spectre</t>
        </is>
      </c>
      <c r="I98" s="70" t="inlineStr">
        <is>
          <t>Torche / Armurouillée</t>
        </is>
      </c>
      <c r="J98" s="70" t="n"/>
      <c r="K98" s="70" t="inlineStr">
        <is>
          <t>Lame en Peine</t>
        </is>
      </c>
      <c r="L98" s="70" t="inlineStr">
        <is>
          <t>Ombre Portée</t>
        </is>
      </c>
      <c r="M98" s="70" t="inlineStr">
        <is>
          <t>Tranche-Nuit</t>
        </is>
      </c>
      <c r="N98" s="70" t="inlineStr">
        <is>
          <t>Danse-Lames</t>
        </is>
      </c>
      <c r="O98" s="70" t="inlineStr">
        <is>
          <t>Feu Follet</t>
        </is>
      </c>
      <c r="P98" s="70" t="inlineStr">
        <is>
          <t>Coupe Psycho</t>
        </is>
      </c>
      <c r="Q98" s="70">
        <f>COUNTA(K98:P98)</f>
        <v/>
      </c>
      <c r="R98" s="70" t="inlineStr">
        <is>
          <t>Starter, Pokéball Noire &amp; Rouge. Rôle : sweeper physique semi-bulky. Nature Jovial (+Vit, −Atk Spé), EV 252 Atk / 252 Vit / 4 PV. Lien : fusionnelle. Attaques 5-6 = capacités additionnelles (Coupe Psycho en CS).</t>
        </is>
      </c>
    </row>
    <row r="99" ht="15" customHeight="1" s="42">
      <c r="A99" s="59" t="inlineStr">
        <is>
          <t>Frère Dark</t>
        </is>
      </c>
      <c r="B99" s="55" t="inlineStr">
        <is>
          <t>Groupe 3</t>
        </is>
      </c>
      <c r="C99" s="70" t="n">
        <v>0</v>
      </c>
      <c r="D99" s="70" t="n">
        <v>2</v>
      </c>
      <c r="E99" s="70" t="inlineStr">
        <is>
          <t>Lucario</t>
        </is>
      </c>
      <c r="F99" s="70" t="inlineStr">
        <is>
          <t>Obi-Wan</t>
        </is>
      </c>
      <c r="G99" s="70" t="inlineStr">
        <is>
          <t>♂</t>
        </is>
      </c>
      <c r="H99" s="70" t="inlineStr">
        <is>
          <t>Combat-Acier</t>
        </is>
      </c>
      <c r="I99" s="70" t="inlineStr">
        <is>
          <t>Cœur Noble</t>
        </is>
      </c>
      <c r="J99" s="70" t="n"/>
      <c r="K99" s="70" t="inlineStr">
        <is>
          <t>Close Combat</t>
        </is>
      </c>
      <c r="L99" s="70" t="inlineStr">
        <is>
          <t>Vitesse Extrême</t>
        </is>
      </c>
      <c r="M99" s="70" t="inlineStr">
        <is>
          <t>Tête de Fer</t>
        </is>
      </c>
      <c r="N99" s="70" t="inlineStr">
        <is>
          <t>Aurasphère</t>
        </is>
      </c>
      <c r="O99" s="70" t="inlineStr">
        <is>
          <t>Mâchouille</t>
        </is>
      </c>
      <c r="P99" s="70" t="inlineStr">
        <is>
          <t>Force</t>
        </is>
      </c>
      <c r="Q99" s="70">
        <f>COUNTA(K99:P99)</f>
        <v/>
      </c>
      <c r="R99" s="70" t="inlineStr">
        <is>
          <t>Rôle : mentor de l'équipe + anti-Fée. Nature Naïf (+Vit, −Déf Spé), EV 252 Atk / 252 Vit / 4 PV. Lien : excellente. Attaques 5-6 = capacités additionnelles (Force en CS).</t>
        </is>
      </c>
    </row>
    <row r="100" ht="15" customHeight="1" s="42">
      <c r="A100" s="59" t="inlineStr">
        <is>
          <t>Frère Dark</t>
        </is>
      </c>
      <c r="B100" s="55" t="inlineStr">
        <is>
          <t>Groupe 3</t>
        </is>
      </c>
      <c r="C100" s="70" t="n">
        <v>0</v>
      </c>
      <c r="D100" s="70" t="n">
        <v>3</v>
      </c>
      <c r="E100" s="70" t="inlineStr">
        <is>
          <t>Tyranocif</t>
        </is>
      </c>
      <c r="F100" s="70" t="inlineStr">
        <is>
          <t>Yoda</t>
        </is>
      </c>
      <c r="G100" s="70" t="inlineStr">
        <is>
          <t>♂</t>
        </is>
      </c>
      <c r="H100" s="70" t="inlineStr">
        <is>
          <t>Roche-Ténèbres</t>
        </is>
      </c>
      <c r="I100" s="70" t="inlineStr">
        <is>
          <t>Sable Volant</t>
        </is>
      </c>
      <c r="J100" s="70" t="n"/>
      <c r="K100" s="70" t="inlineStr">
        <is>
          <t>Piège de Roc</t>
        </is>
      </c>
      <c r="L100" s="70" t="inlineStr">
        <is>
          <t>Séisme</t>
        </is>
      </c>
      <c r="M100" s="70" t="inlineStr">
        <is>
          <t>Tranche-Nuit</t>
        </is>
      </c>
      <c r="N100" s="70" t="inlineStr">
        <is>
          <t>Éboulement</t>
        </is>
      </c>
      <c r="O100" s="70" t="inlineStr">
        <is>
          <t>Hurlement</t>
        </is>
      </c>
      <c r="P100" s="70" t="inlineStr">
        <is>
          <t>Éclate-Roc</t>
        </is>
      </c>
      <c r="Q100" s="70">
        <f>COUNTA(K100:P100)</f>
        <v/>
      </c>
      <c r="R100" s="70" t="inlineStr">
        <is>
          <t>Rôle : mur physique + poseur de rocs. Nature Malin (+Déf, −Atk Spé), EV 252 PV / 252 Déf / 4 Atk. Lien : bonne. Attaques 5-6 = capacités additionnelles (Éclate-Roc en CS).</t>
        </is>
      </c>
    </row>
    <row r="101" ht="15" customHeight="1" s="42">
      <c r="A101" s="59" t="inlineStr">
        <is>
          <t>Frère Dark</t>
        </is>
      </c>
      <c r="B101" s="55" t="inlineStr">
        <is>
          <t>Groupe 3</t>
        </is>
      </c>
      <c r="C101" s="70" t="n">
        <v>0</v>
      </c>
      <c r="D101" s="70" t="n">
        <v>4</v>
      </c>
      <c r="E101" s="70" t="inlineStr">
        <is>
          <t>Delta Mucuscule</t>
        </is>
      </c>
      <c r="F101" s="70" t="inlineStr">
        <is>
          <t>Padmé</t>
        </is>
      </c>
      <c r="G101" s="70" t="inlineStr">
        <is>
          <t>♀</t>
        </is>
      </c>
      <c r="H101" s="70" t="inlineStr">
        <is>
          <t>Eau-Sol</t>
        </is>
      </c>
      <c r="I101" s="49" t="n"/>
      <c r="J101" s="70" t="n"/>
      <c r="K101" s="70" t="inlineStr">
        <is>
          <t>Pistolet à O</t>
        </is>
      </c>
      <c r="L101" s="70" t="inlineStr">
        <is>
          <t>Coup de Boue</t>
        </is>
      </c>
      <c r="M101" s="70" t="inlineStr">
        <is>
          <t>Hurlement</t>
        </is>
      </c>
      <c r="N101" s="70" t="inlineStr">
        <is>
          <t>Repos</t>
        </is>
      </c>
      <c r="O101" s="70" t="inlineStr">
        <is>
          <t>Berceuse</t>
        </is>
      </c>
      <c r="P101" s="70" t="inlineStr">
        <is>
          <t>Bave</t>
        </is>
      </c>
      <c r="Q101" s="70">
        <f>COUNTA(K101:P101)</f>
        <v/>
      </c>
      <c r="R101" s="70" t="inlineStr">
        <is>
          <t>Rôle : tank spécial + anti-Eau/Élec. Nature Calme (+Déf Spé, −Atk), EV 252 PV / 252 Déf Spé / 4 Atk. Lien : nulle — déteste Tristan et le fait d'être utilisée pour la secte. Attaques 5-6 = capacités additionnelles.</t>
        </is>
      </c>
    </row>
    <row r="102" ht="15" customHeight="1" s="42">
      <c r="A102" s="59" t="inlineStr">
        <is>
          <t>Frère Dark</t>
        </is>
      </c>
      <c r="B102" s="55" t="inlineStr">
        <is>
          <t>Groupe 3</t>
        </is>
      </c>
      <c r="C102" s="70" t="n">
        <v>0</v>
      </c>
      <c r="D102" s="70" t="n">
        <v>5</v>
      </c>
      <c r="E102" s="70" t="inlineStr">
        <is>
          <t>Flambusard</t>
        </is>
      </c>
      <c r="F102" s="70" t="inlineStr">
        <is>
          <t>Ahsoka</t>
        </is>
      </c>
      <c r="G102" s="70" t="inlineStr">
        <is>
          <t>♀</t>
        </is>
      </c>
      <c r="H102" s="70" t="inlineStr">
        <is>
          <t>Feu-Vol</t>
        </is>
      </c>
      <c r="I102" s="49" t="n"/>
      <c r="J102" s="70" t="n"/>
      <c r="K102" s="70" t="inlineStr">
        <is>
          <t>Rapace</t>
        </is>
      </c>
      <c r="L102" s="70" t="inlineStr">
        <is>
          <t>Boutefeu</t>
        </is>
      </c>
      <c r="M102" s="70" t="inlineStr">
        <is>
          <t>Demi-Tour</t>
        </is>
      </c>
      <c r="N102" s="70" t="inlineStr">
        <is>
          <t>Cru-Aile</t>
        </is>
      </c>
      <c r="O102" s="70" t="inlineStr">
        <is>
          <t>Aile d'Acier</t>
        </is>
      </c>
      <c r="P102" s="70" t="inlineStr">
        <is>
          <t>Vol</t>
        </is>
      </c>
      <c r="Q102" s="70">
        <f>COUNTA(K102:P102)</f>
        <v/>
      </c>
      <c r="R102" s="70" t="inlineStr">
        <is>
          <t>Rôle : revenge killer rapide + mobilité. Nature Jovial (+Vit, −Atk Spé), EV 252 Atk / 252 Vit / 4 PV. Lien : bonne. Attaques 5-6 = capacités additionnelles (Vol en CS).</t>
        </is>
      </c>
    </row>
    <row r="103" ht="15" customHeight="1" s="42">
      <c r="A103" s="59" t="inlineStr">
        <is>
          <t>Frère Dark</t>
        </is>
      </c>
      <c r="B103" s="55" t="inlineStr">
        <is>
          <t>Groupe 3</t>
        </is>
      </c>
      <c r="C103" s="70" t="n">
        <v>0</v>
      </c>
      <c r="D103" s="70" t="n">
        <v>6</v>
      </c>
      <c r="E103" s="70" t="inlineStr">
        <is>
          <t>Ectoplasma</t>
        </is>
      </c>
      <c r="F103" s="70" t="inlineStr">
        <is>
          <t>Sidious</t>
        </is>
      </c>
      <c r="G103" s="70" t="inlineStr">
        <is>
          <t>♂</t>
        </is>
      </c>
      <c r="H103" s="70" t="inlineStr">
        <is>
          <t>Spectre-Poison</t>
        </is>
      </c>
      <c r="I103" s="70" t="inlineStr">
        <is>
          <t>Lévitation</t>
        </is>
      </c>
      <c r="J103" s="70" t="n"/>
      <c r="K103" s="70" t="inlineStr">
        <is>
          <t>Ball'Ombre</t>
        </is>
      </c>
      <c r="L103" s="70" t="inlineStr">
        <is>
          <t>Bomb-Beurk</t>
        </is>
      </c>
      <c r="M103" s="70" t="inlineStr">
        <is>
          <t>Exploforce</t>
        </is>
      </c>
      <c r="N103" s="70" t="inlineStr">
        <is>
          <t>Tonnerre</t>
        </is>
      </c>
      <c r="O103" s="70" t="inlineStr">
        <is>
          <t>Flash</t>
        </is>
      </c>
      <c r="P103" s="70" t="inlineStr">
        <is>
          <t>Vibrobscur</t>
        </is>
      </c>
      <c r="Q103" s="70">
        <f>COUNTA(K103:P103)</f>
        <v/>
      </c>
      <c r="R103" s="70" t="inlineStr">
        <is>
          <t>Rôle : sweeper spécial rapide + utilitaire. Nature Timide (+Vit, −Atk), EV 252 Vit / 252 Atk Spé / 4 PV. Lien : basse. Attaques 5-6 = capacités additionnelles (Flash en CS).</t>
        </is>
      </c>
    </row>
    <row r="104" ht="15" customHeight="1" s="42">
      <c r="A104" s="59" t="inlineStr">
        <is>
          <t>Modulo</t>
        </is>
      </c>
      <c r="B104" s="53" t="inlineStr">
        <is>
          <t>Groupe 4</t>
        </is>
      </c>
      <c r="C104" s="60" t="n"/>
      <c r="D104" s="60" t="n">
        <v>1</v>
      </c>
      <c r="E104" s="60" t="inlineStr">
        <is>
          <t>Gardevoir</t>
        </is>
      </c>
      <c r="F104" s="60" t="inlineStr">
        <is>
          <t>Moka / Ura-Moka</t>
        </is>
      </c>
      <c r="G104" s="60" t="inlineStr">
        <is>
          <t>♂</t>
        </is>
      </c>
      <c r="H104" s="72" t="inlineStr">
        <is>
          <t>Psy-Fée</t>
        </is>
      </c>
      <c r="I104" s="60" t="inlineStr">
        <is>
          <t>Calque</t>
        </is>
      </c>
      <c r="J104" s="60" t="inlineStr">
        <is>
          <t>Gardevoirite</t>
        </is>
      </c>
      <c r="K104" s="60" t="inlineStr">
        <is>
          <t>Pouvoir Lunaire</t>
        </is>
      </c>
      <c r="L104" s="60" t="inlineStr">
        <is>
          <t>Hypnose</t>
        </is>
      </c>
      <c r="M104" s="60" t="inlineStr">
        <is>
          <t>Téléport</t>
        </is>
      </c>
      <c r="N104" s="60" t="inlineStr">
        <is>
          <t>Attraction</t>
        </is>
      </c>
      <c r="O104" s="60" t="inlineStr">
        <is>
          <t>Charme</t>
        </is>
      </c>
      <c r="P104" s="60" t="inlineStr">
        <is>
          <t>Psybeam</t>
        </is>
      </c>
      <c r="Q104" s="60">
        <f>COUNTA(K104:P104)</f>
        <v/>
      </c>
      <c r="R104" s="60" t="inlineStr">
        <is>
          <t>Trio de scène (Run) — la vedette. Méga-évolution en Ura-Moka. Combo « Misdirection » = Hypnose + Téléport. Demande en attente : remplacer Psybeam par Psyko.</t>
        </is>
      </c>
    </row>
    <row r="105" ht="15" customHeight="1" s="42">
      <c r="A105" s="59" t="inlineStr">
        <is>
          <t>Modulo</t>
        </is>
      </c>
      <c r="B105" s="53" t="inlineStr">
        <is>
          <t>Groupe 4</t>
        </is>
      </c>
      <c r="C105" s="60" t="n"/>
      <c r="D105" s="60" t="n">
        <v>2</v>
      </c>
      <c r="E105" s="60" t="inlineStr">
        <is>
          <t>Aquali</t>
        </is>
      </c>
      <c r="F105" s="60" t="inlineStr">
        <is>
          <t>Ondine</t>
        </is>
      </c>
      <c r="G105" s="60" t="inlineStr">
        <is>
          <t>♀</t>
        </is>
      </c>
      <c r="H105" s="72" t="inlineStr">
        <is>
          <t>Eau</t>
        </is>
      </c>
      <c r="I105" s="60" t="inlineStr">
        <is>
          <t>Absorb Eau</t>
        </is>
      </c>
      <c r="J105" s="60" t="inlineStr">
        <is>
          <t>Eau Mystique</t>
        </is>
      </c>
      <c r="K105" s="60" t="inlineStr">
        <is>
          <t>Attraction</t>
        </is>
      </c>
      <c r="L105" s="60" t="inlineStr">
        <is>
          <t>Buée Noire</t>
        </is>
      </c>
      <c r="M105" s="60" t="inlineStr">
        <is>
          <t>Aurora Beam</t>
        </is>
      </c>
      <c r="N105" s="60" t="inlineStr">
        <is>
          <t>Ocroupi</t>
        </is>
      </c>
      <c r="O105" s="60" t="inlineStr">
        <is>
          <t>Eau Revoir</t>
        </is>
      </c>
      <c r="P105" s="60" t="inlineStr">
        <is>
          <t>Anneau Hydro</t>
        </is>
      </c>
      <c r="Q105" s="60">
        <f>COUNTA(K105:P105)</f>
        <v/>
      </c>
      <c r="R105" s="60" t="inlineStr">
        <is>
          <t>Trio de scène (Run). Combo « Anneaux Adieux » = Anneau Hydro + Eau Revoir. Demande en attente : remplacer Aurora Beam par Laser Glace.</t>
        </is>
      </c>
    </row>
    <row r="106" ht="15" customHeight="1" s="42">
      <c r="A106" s="59" t="inlineStr">
        <is>
          <t>Modulo</t>
        </is>
      </c>
      <c r="B106" s="53" t="inlineStr">
        <is>
          <t>Groupe 4</t>
        </is>
      </c>
      <c r="C106" s="60" t="n"/>
      <c r="D106" s="60" t="n">
        <v>3</v>
      </c>
      <c r="E106" s="60" t="inlineStr">
        <is>
          <t>Roserade</t>
        </is>
      </c>
      <c r="F106" s="60" t="inlineStr">
        <is>
          <t>BlackPink</t>
        </is>
      </c>
      <c r="G106" s="60" t="inlineStr">
        <is>
          <t>♀</t>
        </is>
      </c>
      <c r="H106" s="72" t="inlineStr">
        <is>
          <t>Plante-Poison</t>
        </is>
      </c>
      <c r="I106" s="60" t="inlineStr">
        <is>
          <t>Médic Nature</t>
        </is>
      </c>
      <c r="J106" s="60" t="inlineStr">
        <is>
          <t>Grosse Racine</t>
        </is>
      </c>
      <c r="K106" s="60" t="inlineStr">
        <is>
          <t>Vampigraine</t>
        </is>
      </c>
      <c r="L106" s="60" t="inlineStr">
        <is>
          <t>Racines</t>
        </is>
      </c>
      <c r="M106" s="60" t="inlineStr">
        <is>
          <t>Attraction</t>
        </is>
      </c>
      <c r="N106" s="60" t="inlineStr">
        <is>
          <t>Giga-Sangsue</t>
        </is>
      </c>
      <c r="O106" s="60" t="inlineStr">
        <is>
          <t>Aromathérapie</t>
        </is>
      </c>
      <c r="P106" s="60" t="inlineStr">
        <is>
          <t>Choc Venin</t>
        </is>
      </c>
      <c r="Q106" s="60">
        <f>COUNTA(K106:P106)</f>
        <v/>
      </c>
      <c r="R106" s="60" t="inlineStr">
        <is>
          <t>Trio de scène (Run). Chromatique (shiny). Combo « Vampilianes » = Vampigraine + Racines.</t>
        </is>
      </c>
    </row>
    <row r="107" ht="15" customHeight="1" s="42">
      <c r="A107" s="59" t="inlineStr">
        <is>
          <t>Modulo</t>
        </is>
      </c>
      <c r="B107" s="53" t="inlineStr">
        <is>
          <t>Groupe 4</t>
        </is>
      </c>
      <c r="C107" s="60" t="n"/>
      <c r="D107" s="60" t="n">
        <v>4</v>
      </c>
      <c r="E107" s="60" t="inlineStr">
        <is>
          <t>Nidoqueer (fusion Nidoking × Nidoqueen)</t>
        </is>
      </c>
      <c r="F107" s="60" t="inlineStr">
        <is>
          <t>Domina</t>
        </is>
      </c>
      <c r="G107" s="60" t="n"/>
      <c r="H107" s="72" t="inlineStr">
        <is>
          <t>Poison-Sol</t>
        </is>
      </c>
      <c r="I107" s="60" t="inlineStr">
        <is>
          <t>Rivalité + Point Poison</t>
        </is>
      </c>
      <c r="J107" s="60" t="inlineStr">
        <is>
          <t>Roche Royale</t>
        </is>
      </c>
      <c r="K107" s="60" t="inlineStr">
        <is>
          <t>Pics Toxik</t>
        </is>
      </c>
      <c r="L107" s="60" t="inlineStr">
        <is>
          <t>Attraction</t>
        </is>
      </c>
      <c r="M107" s="60" t="inlineStr">
        <is>
          <t>Séduction</t>
        </is>
      </c>
      <c r="N107" s="60" t="inlineStr">
        <is>
          <t>Telluriforce</t>
        </is>
      </c>
      <c r="O107" s="60" t="inlineStr">
        <is>
          <t>Mégacorne</t>
        </is>
      </c>
      <c r="P107" s="60" t="inlineStr">
        <is>
          <t>Surpuissance</t>
        </is>
      </c>
      <c r="Q107" s="60">
        <f>COUNTA(K107:P107)</f>
        <v/>
      </c>
      <c r="R107" s="60" t="inlineStr">
        <is>
          <t>Trio de combat (Ren) — l'ace. Rivalité toujours active face à un Pokémon sexué, car change de sexe à volonté. Combo « Domination » = Attraction + Séduction. Peut servir de monture.</t>
        </is>
      </c>
    </row>
    <row r="108" ht="15" customHeight="1" s="42">
      <c r="A108" s="59" t="inlineStr">
        <is>
          <t>Modulo</t>
        </is>
      </c>
      <c r="B108" s="53" t="inlineStr">
        <is>
          <t>Groupe 4</t>
        </is>
      </c>
      <c r="C108" s="60" t="n"/>
      <c r="D108" s="60" t="n">
        <v>5</v>
      </c>
      <c r="E108" s="60" t="inlineStr">
        <is>
          <t>Colimucus</t>
        </is>
      </c>
      <c r="F108" s="60" t="inlineStr">
        <is>
          <t>Le gluant</t>
        </is>
      </c>
      <c r="G108" s="60" t="inlineStr">
        <is>
          <t>♂</t>
        </is>
      </c>
      <c r="H108" s="72" t="inlineStr">
        <is>
          <t>Dragon</t>
        </is>
      </c>
      <c r="I108" s="60" t="inlineStr">
        <is>
          <t>Gooey (Muqueuse)</t>
        </is>
      </c>
      <c r="J108" s="60" t="inlineStr">
        <is>
          <t>Évoluroc</t>
        </is>
      </c>
      <c r="K108" s="60" t="inlineStr">
        <is>
          <t>Acidarmure</t>
        </is>
      </c>
      <c r="L108" s="60" t="inlineStr">
        <is>
          <t>Dracochoc</t>
        </is>
      </c>
      <c r="M108" s="60" t="inlineStr">
        <is>
          <t>Vibraqua</t>
        </is>
      </c>
      <c r="N108" s="60" t="inlineStr">
        <is>
          <t>Acid Spray</t>
        </is>
      </c>
      <c r="O108" s="60" t="inlineStr">
        <is>
          <t>Abri</t>
        </is>
      </c>
      <c r="P108" s="60" t="inlineStr">
        <is>
          <t>Repos</t>
        </is>
      </c>
      <c r="Q108" s="60">
        <f>COUNTA(K108:P108)</f>
        <v/>
      </c>
      <c r="R108" s="60" t="inlineStr">
        <is>
          <t>Trio de combat (Ren) — encaisse, ralentit, empoisonne. Combo « Mucus Acide » = Acidarmure + Acid Spray.</t>
        </is>
      </c>
    </row>
    <row r="109" ht="15" customHeight="1" s="42">
      <c r="A109" s="59" t="inlineStr">
        <is>
          <t>Modulo</t>
        </is>
      </c>
      <c r="B109" s="53" t="inlineStr">
        <is>
          <t>Groupe 4</t>
        </is>
      </c>
      <c r="C109" s="60" t="n"/>
      <c r="D109" s="60" t="n">
        <v>6</v>
      </c>
      <c r="E109" s="60" t="inlineStr">
        <is>
          <t>Moufflair</t>
        </is>
      </c>
      <c r="F109" s="60" t="inlineStr">
        <is>
          <t>Moufette</t>
        </is>
      </c>
      <c r="G109" s="60" t="inlineStr">
        <is>
          <t>♀</t>
        </is>
      </c>
      <c r="H109" s="72" t="inlineStr">
        <is>
          <t>Poison-Ténèbres</t>
        </is>
      </c>
      <c r="I109" s="60" t="inlineStr">
        <is>
          <t>Puanteur</t>
        </is>
      </c>
      <c r="J109" s="60" t="inlineStr">
        <is>
          <t>Boue Noire</t>
        </is>
      </c>
      <c r="K109" s="60" t="inlineStr">
        <is>
          <t>Lance-Flammes</t>
        </is>
      </c>
      <c r="L109" s="60" t="inlineStr">
        <is>
          <t>Coup Bas</t>
        </is>
      </c>
      <c r="M109" s="60" t="inlineStr">
        <is>
          <t>Toxik</t>
        </is>
      </c>
      <c r="N109" s="60" t="inlineStr">
        <is>
          <t>Assurance</t>
        </is>
      </c>
      <c r="O109" s="60" t="inlineStr">
        <is>
          <t>Choc Venin</t>
        </is>
      </c>
      <c r="P109" s="60" t="inlineStr">
        <is>
          <t>Abri</t>
        </is>
      </c>
      <c r="Q109" s="60">
        <f>COUNTA(K109:P109)</f>
        <v/>
      </c>
      <c r="R109" s="60" t="inlineStr">
        <is>
          <t>Trio de combat (Ren) — frappe, gêne, coup bas. Combo « Coup sale » = Coup Bas + Toxik.</t>
        </is>
      </c>
    </row>
    <row r="110" ht="15" customHeight="1" s="42">
      <c r="A110" s="59" t="inlineStr">
        <is>
          <t>Sœur Automne</t>
        </is>
      </c>
      <c r="B110" s="55" t="inlineStr">
        <is>
          <t>Groupe 3</t>
        </is>
      </c>
      <c r="C110" s="70" t="n"/>
      <c r="D110" s="70" t="n">
        <v>1</v>
      </c>
      <c r="E110" s="70" t="inlineStr">
        <is>
          <t>Nidoran</t>
        </is>
      </c>
      <c r="F110" s="70" t="inlineStr">
        <is>
          <t>Ponpon</t>
        </is>
      </c>
      <c r="G110" s="70" t="inlineStr">
        <is>
          <t>♀</t>
        </is>
      </c>
      <c r="H110" s="60" t="inlineStr">
        <is>
          <t>Poison</t>
        </is>
      </c>
      <c r="I110" s="60" t="inlineStr">
        <is>
          <t>Point Poison</t>
        </is>
      </c>
      <c r="J110" s="70" t="inlineStr">
        <is>
          <t>Évoluroc</t>
        </is>
      </c>
      <c r="K110" s="60" t="inlineStr">
        <is>
          <t>Pics Toxik</t>
        </is>
      </c>
      <c r="L110" s="70" t="inlineStr">
        <is>
          <t>Piège de Venin</t>
        </is>
      </c>
      <c r="M110" s="70" t="inlineStr">
        <is>
          <t>Toxik</t>
        </is>
      </c>
      <c r="N110" s="70" t="inlineStr">
        <is>
          <t>Croc Fatal</t>
        </is>
      </c>
      <c r="O110" s="70" t="inlineStr">
        <is>
          <t>Reflet</t>
        </is>
      </c>
      <c r="P110" s="70" t="inlineStr">
        <is>
          <t>Coup d'Main</t>
        </is>
      </c>
      <c r="Q110" s="70">
        <f>COUNTA(K110:P110)</f>
        <v/>
      </c>
      <c r="R110" s="70" t="inlineStr">
        <is>
          <t>Mur / staller assumé. NON ÉVOLUÉ VOLONTAIREMENT : l'Évoluroc n'agit que sur les Pokémon non pleinement évolués et augmente Défense ET Défense Spéciale de 50 %. Faire évoluer Ponpon lui ferait PERDRE l'objet. Croc Fatal retire la moitié des PV actuels quelle que soit l'Attaque du lanceur : parfait sur un Pokémon à 47 d'Attaque. Pics Toxik empoisonne tout ce qui entre côté adverse, Toxik empoisonne gravement, Reflet fait durer. Coup d'Main ne fonctionne qu'en combat multiple : c'est une capacité de soutien d'équipe, cohérente avec un raid en groupe. Point Poison empoisonne qui la touche.</t>
        </is>
      </c>
    </row>
    <row r="111" ht="15" customHeight="1" s="42">
      <c r="A111" s="59" t="inlineStr">
        <is>
          <t>Sœur Automne</t>
        </is>
      </c>
      <c r="B111" s="55" t="inlineStr">
        <is>
          <t>Groupe 3</t>
        </is>
      </c>
      <c r="C111" s="70" t="n"/>
      <c r="D111" s="70" t="n">
        <v>2</v>
      </c>
      <c r="E111" s="70" t="inlineStr">
        <is>
          <t>Roserade</t>
        </is>
      </c>
      <c r="F111" s="70" t="inlineStr">
        <is>
          <t>Buttercup</t>
        </is>
      </c>
      <c r="G111" s="70" t="inlineStr">
        <is>
          <t>♂</t>
        </is>
      </c>
      <c r="H111" s="60" t="inlineStr">
        <is>
          <t>Plante-Poison</t>
        </is>
      </c>
      <c r="I111" s="60" t="inlineStr">
        <is>
          <t>Point Poison</t>
        </is>
      </c>
      <c r="J111" s="70" t="inlineStr">
        <is>
          <t>Casque Brut</t>
        </is>
      </c>
      <c r="K111" s="60" t="inlineStr">
        <is>
          <t>Choc Venin</t>
        </is>
      </c>
      <c r="L111" s="70" t="inlineStr">
        <is>
          <t>Boost</t>
        </is>
      </c>
      <c r="M111" s="70" t="inlineStr">
        <is>
          <t>Aromathérapie</t>
        </is>
      </c>
      <c r="N111" s="70" t="inlineStr">
        <is>
          <t>Poudre Dodo</t>
        </is>
      </c>
      <c r="O111" s="70" t="inlineStr">
        <is>
          <t>Toupie-Éclat</t>
        </is>
      </c>
      <c r="P111" s="70" t="inlineStr">
        <is>
          <t>Fontaine de Vie</t>
        </is>
      </c>
      <c r="Q111" s="70">
        <f>COUNTA(K111:P111)</f>
        <v/>
      </c>
      <c r="R111" s="70" t="inlineStr">
        <is>
          <t>Attaquant spécial + soutien (125 en Atq. Spé.). COMBO CENTRAL : Toupie Éclat empoisonne À COUP SÛR, puis Choc Venin double sa puissance sur cible empoisonnée (65 → 130). Toupie Éclat nettoie aussi les pièges du côté du lanceur et libère de Vampigraine/Étreinte. SYNERGIE OBJET : Casque Brut blesse d'1/6 des PV tout attaquant au contact, et Point Poison a 30 % de l'empoisonner dans le même temps — l'adversaire se punit deux fois en frappant, et s'ouvre au Choc Venin. Boost (= Work Up) monte Attaque et Atq. Spé. Aromathérapie soigne les altérations de toute l'équipe, Fontaine de Vie rend 1/4 des PV à toute l'équipe, Poudre Dodo endort. Build entièrement légal (vérifié).</t>
        </is>
      </c>
    </row>
    <row r="112" ht="15" customHeight="1" s="42">
      <c r="A112" s="59" t="inlineStr">
        <is>
          <t>Sœur Automne</t>
        </is>
      </c>
      <c r="B112" s="55" t="inlineStr">
        <is>
          <t>Groupe 3</t>
        </is>
      </c>
      <c r="C112" s="70" t="n"/>
      <c r="D112" s="70" t="n">
        <v>3</v>
      </c>
      <c r="E112" s="70" t="inlineStr">
        <is>
          <t>Brutapode</t>
        </is>
      </c>
      <c r="F112" s="70" t="inlineStr">
        <is>
          <t>Chouchou</t>
        </is>
      </c>
      <c r="G112" s="70" t="inlineStr">
        <is>
          <t>♂</t>
        </is>
      </c>
      <c r="H112" s="60" t="inlineStr">
        <is>
          <t>Insecte-Poison</t>
        </is>
      </c>
      <c r="I112" s="60" t="inlineStr">
        <is>
          <t>Turbo</t>
        </is>
      </c>
      <c r="J112" s="70" t="inlineStr">
        <is>
          <t>Boue Noire</t>
        </is>
      </c>
      <c r="K112" s="60" t="inlineStr">
        <is>
          <t>Mégacorne</t>
        </is>
      </c>
      <c r="L112" s="70" t="inlineStr">
        <is>
          <t>Séisme</t>
        </is>
      </c>
      <c r="M112" s="70" t="inlineStr">
        <is>
          <t>Détricanon</t>
        </is>
      </c>
      <c r="N112" s="70" t="inlineStr">
        <is>
          <t>Mur de Fer</t>
        </is>
      </c>
      <c r="O112" s="70" t="inlineStr">
        <is>
          <t>Abri</t>
        </is>
      </c>
      <c r="P112" s="70" t="inlineStr">
        <is>
          <t>Big Splash</t>
        </is>
      </c>
      <c r="Q112" s="70">
        <f>COUNTA(K112:P112)</f>
        <v/>
      </c>
      <c r="R112" s="70" t="inlineStr">
        <is>
          <t>Sweeper physique. Turbo monte la Vitesse à chaque tour ; Abri permet d'encaisser un tour pour empiler le bonus. Boue Noire régénère (STAB Poison). COMBO : Big Splash (= Body Press) calcule ses dégâts avec la Défense du lanceur, donc chaque Mur de Fer la renforce directement. ⚠️ Brutapode ne figure pas dans la liste des apprentis de Big Splash (DT99 en 8G, CT089 en 9G) : autorisation MJ requise, comme Détricanon sur Empiflor.</t>
        </is>
      </c>
    </row>
    <row r="113" ht="15" customHeight="1" s="42">
      <c r="A113" s="59" t="inlineStr">
        <is>
          <t>Sœur Automne</t>
        </is>
      </c>
      <c r="B113" s="55" t="inlineStr">
        <is>
          <t>Groupe 3</t>
        </is>
      </c>
      <c r="C113" s="70" t="n"/>
      <c r="D113" s="70" t="n">
        <v>4</v>
      </c>
      <c r="E113" s="70" t="inlineStr">
        <is>
          <t>Kravarech</t>
        </is>
      </c>
      <c r="F113" s="70" t="inlineStr">
        <is>
          <t>Toudoux</t>
        </is>
      </c>
      <c r="G113" s="70" t="inlineStr">
        <is>
          <t>♀</t>
        </is>
      </c>
      <c r="H113" s="60" t="inlineStr">
        <is>
          <t>Poison-Dragon</t>
        </is>
      </c>
      <c r="I113" s="60" t="inlineStr">
        <is>
          <t>Adaptabilité</t>
        </is>
      </c>
      <c r="J113" s="70" t="inlineStr">
        <is>
          <t>Kravarekite</t>
        </is>
      </c>
      <c r="K113" s="60" t="inlineStr">
        <is>
          <t>Cradovague</t>
        </is>
      </c>
      <c r="L113" s="70" t="inlineStr">
        <is>
          <t>Draco-Queue</t>
        </is>
      </c>
      <c r="M113" s="70" t="inlineStr">
        <is>
          <t>Bombe-Beurk</t>
        </is>
      </c>
      <c r="N113" s="70" t="inlineStr">
        <is>
          <t>Draco-Choc</t>
        </is>
      </c>
      <c r="O113" s="70" t="inlineStr">
        <is>
          <t>Bombe Acide</t>
        </is>
      </c>
      <c r="P113" s="70" t="inlineStr">
        <is>
          <t>Eau Revoir</t>
        </is>
      </c>
      <c r="Q113" s="70">
        <f>COUNTA(K113:P113)</f>
        <v/>
      </c>
      <c r="R113" s="70" t="inlineStr">
        <is>
          <t>Attaquant spécial. Adaptabilité porte le STAB de 1,5 à 2 : Cradovague, Bombe-Beurk et Draco-Choc frappent très fort. Draco-Queue force le switch adverse, Eau Revoir permet le repli offensif. Kravarekite : méga-gemme non officielle, à valider avec le MJ.</t>
        </is>
      </c>
    </row>
    <row r="114" ht="15" customHeight="1" s="42">
      <c r="A114" s="59" t="inlineStr">
        <is>
          <t>Sœur Automne</t>
        </is>
      </c>
      <c r="B114" s="55" t="inlineStr">
        <is>
          <t>Groupe 3</t>
        </is>
      </c>
      <c r="C114" s="70" t="n"/>
      <c r="D114" s="70" t="n">
        <v>5</v>
      </c>
      <c r="E114" s="70" t="inlineStr">
        <is>
          <t>Malamandre</t>
        </is>
      </c>
      <c r="F114" s="70" t="inlineStr">
        <is>
          <t>Jujube</t>
        </is>
      </c>
      <c r="G114" s="70" t="inlineStr">
        <is>
          <t>♀</t>
        </is>
      </c>
      <c r="H114" s="60" t="inlineStr">
        <is>
          <t>Feu-Poison</t>
        </is>
      </c>
      <c r="I114" s="60" t="inlineStr">
        <is>
          <t>Corrosion</t>
        </is>
      </c>
      <c r="J114" s="70" t="inlineStr">
        <is>
          <t>Charbon</t>
        </is>
      </c>
      <c r="K114" s="60" t="inlineStr">
        <is>
          <t>Gaz Toxik</t>
        </is>
      </c>
      <c r="L114" s="70" t="inlineStr">
        <is>
          <t>Choc Venin</t>
        </is>
      </c>
      <c r="M114" s="70" t="inlineStr">
        <is>
          <t>Croco Larme</t>
        </is>
      </c>
      <c r="N114" s="70" t="inlineStr">
        <is>
          <t>Calcination</t>
        </is>
      </c>
      <c r="O114" s="70" t="inlineStr">
        <is>
          <t>Feu Envieux</t>
        </is>
      </c>
      <c r="P114" s="70" t="n"/>
      <c r="Q114" s="70">
        <f>COUNTA(K114:P114)</f>
        <v/>
      </c>
      <c r="R114" s="70" t="inlineStr">
        <is>
          <t>Attaquant spécial (111 en Atq. Spé., 117 en Vitesse). COMBO CENTRAL : Corrosion permet d'empoisonner N'IMPORTE QUEL type, y compris Acier et Poison normalement immunisés. Gaz Toxik empoisonne, puis Choc Venin double sa puissance (65 → 130) sur cible empoisonnée — et rien ne peut y échapper. Croco Larme baisse la Défense Spéciale de 2 crans avant de frapper. Calcination détruit la Baie tenue par la cible. Feu Envieux brûle toute cible ayant augmenté ses stats dans le tour : punit les sweepers qui montent en puissance. Charbon renforce les attaques Feu. Espèce exclusivement femelle. Build entièrement légal (vérifié).</t>
        </is>
      </c>
    </row>
    <row r="115" ht="15" customHeight="1" s="42">
      <c r="A115" s="59" t="inlineStr">
        <is>
          <t>Sœur Automne</t>
        </is>
      </c>
      <c r="B115" s="55" t="inlineStr">
        <is>
          <t>Groupe 3</t>
        </is>
      </c>
      <c r="C115" s="70" t="n"/>
      <c r="D115" s="70" t="n">
        <v>6</v>
      </c>
      <c r="E115" s="70" t="inlineStr">
        <is>
          <t>Drascore</t>
        </is>
      </c>
      <c r="F115" s="70" t="inlineStr">
        <is>
          <t>Câline</t>
        </is>
      </c>
      <c r="G115" s="70" t="inlineStr">
        <is>
          <t>♀</t>
        </is>
      </c>
      <c r="H115" s="60" t="inlineStr">
        <is>
          <t>Poison-Ténèbres</t>
        </is>
      </c>
      <c r="I115" s="60" t="inlineStr">
        <is>
          <t>Sniper</t>
        </is>
      </c>
      <c r="J115" s="70" t="inlineStr">
        <is>
          <t>Griffe-Rasoir</t>
        </is>
      </c>
      <c r="K115" s="60" t="inlineStr">
        <is>
          <t>Danse-Lames</t>
        </is>
      </c>
      <c r="L115" s="70" t="inlineStr">
        <is>
          <t>Poison-Croix</t>
        </is>
      </c>
      <c r="M115" s="70" t="inlineStr">
        <is>
          <t>Tranche-Nuit</t>
        </is>
      </c>
      <c r="N115" s="70" t="inlineStr">
        <is>
          <t>Plaie-Croix</t>
        </is>
      </c>
      <c r="O115" s="70" t="inlineStr">
        <is>
          <t>Tourbi-Sable</t>
        </is>
      </c>
      <c r="P115" s="70" t="n"/>
      <c r="Q115" s="70">
        <f>COUNTA(K115:P115)</f>
        <v/>
      </c>
      <c r="R115" s="70" t="inlineStr">
        <is>
          <t>Sweeper à coups critiques. Griffe-Rasoir + Poison-Croix, Tranche-Nuit et Plaie-Croix (tous à taux de critique augmenté) + Sniper (critiques × 2,25 au lieu de × 1,5). Danse-Lames prépare, Tourbi-Sable empêche la fuite. Une seule faiblesse : le Sol.</t>
        </is>
      </c>
    </row>
    <row r="116">
      <c r="A116" t="inlineStr">
        <is>
          <t>Sœur Aquila</t>
        </is>
      </c>
      <c r="B116" t="inlineStr">
        <is>
          <t>Groupe 5 - Escouade de raid</t>
        </is>
      </c>
      <c r="C116" t="n">
        <v>4</v>
      </c>
      <c r="D116" t="n">
        <v>1</v>
      </c>
      <c r="E116" t="inlineStr">
        <is>
          <t>Vaututrice</t>
        </is>
      </c>
      <c r="H116" t="inlineStr">
        <is>
          <t>Ténèbres-Vol</t>
        </is>
      </c>
      <c r="I116" t="inlineStr">
        <is>
          <t>Envelocape</t>
        </is>
      </c>
      <c r="K116" t="inlineStr">
        <is>
          <t>Rapace</t>
        </is>
      </c>
      <c r="L116" t="inlineStr">
        <is>
          <t>Tricherie</t>
        </is>
      </c>
      <c r="M116" t="inlineStr">
        <is>
          <t>Danse Plumes</t>
        </is>
      </c>
      <c r="N116" t="inlineStr">
        <is>
          <t>Abri</t>
        </is>
      </c>
      <c r="O116" t="inlineStr">
        <is>
          <t>Toxik</t>
        </is>
      </c>
      <c r="P116" t="inlineStr">
        <is>
          <t>Atterrissage</t>
        </is>
      </c>
      <c r="Q116">
        <f>COUNTA(K116:P116)</f>
        <v/>
      </c>
      <c r="R116" t="inlineStr">
        <is>
          <t>Pièce maîtresse, punit le physique</t>
        </is>
      </c>
    </row>
    <row r="117">
      <c r="A117" t="inlineStr">
        <is>
          <t>Sœur Aquila</t>
        </is>
      </c>
      <c r="B117" t="inlineStr">
        <is>
          <t>Groupe 5 - Escouade de raid</t>
        </is>
      </c>
      <c r="C117" t="n">
        <v>4</v>
      </c>
      <c r="D117" t="n">
        <v>2</v>
      </c>
      <c r="E117" t="inlineStr">
        <is>
          <t>Corboss</t>
        </is>
      </c>
      <c r="H117" t="inlineStr">
        <is>
          <t>Ténèbres-Vol</t>
        </is>
      </c>
      <c r="I117" t="inlineStr">
        <is>
          <t>Impudence</t>
        </is>
      </c>
      <c r="K117" t="inlineStr">
        <is>
          <t>Rapace</t>
        </is>
      </c>
      <c r="L117" t="inlineStr">
        <is>
          <t>Coup Bas</t>
        </is>
      </c>
      <c r="M117" t="inlineStr">
        <is>
          <t>Tranche-Nuit</t>
        </is>
      </c>
      <c r="N117" t="inlineStr">
        <is>
          <t>Provoc</t>
        </is>
      </c>
      <c r="O117" t="inlineStr">
        <is>
          <t>Demi-Tour</t>
        </is>
      </c>
      <c r="P117" t="inlineStr">
        <is>
          <t>Atterrissage</t>
        </is>
      </c>
      <c r="Q117">
        <f>COUNTA(K117:P117)</f>
        <v/>
      </c>
      <c r="R117" t="inlineStr">
        <is>
          <t>Frappeur à priorité, effet boule de neige</t>
        </is>
      </c>
    </row>
    <row r="118">
      <c r="A118" t="inlineStr">
        <is>
          <t>Sœur Aquila</t>
        </is>
      </c>
      <c r="B118" t="inlineStr">
        <is>
          <t>Groupe 5 - Escouade de raid</t>
        </is>
      </c>
      <c r="C118" t="n">
        <v>4</v>
      </c>
      <c r="D118" t="n">
        <v>3</v>
      </c>
      <c r="E118" t="inlineStr">
        <is>
          <t>Corvaillus</t>
        </is>
      </c>
      <c r="H118" t="inlineStr">
        <is>
          <t>Vol-Acier</t>
        </is>
      </c>
      <c r="I118" t="inlineStr">
        <is>
          <t>Armure Miroir</t>
        </is>
      </c>
      <c r="K118" t="inlineStr">
        <is>
          <t>Rapace</t>
        </is>
      </c>
      <c r="L118" t="inlineStr">
        <is>
          <t>Tête de Fer</t>
        </is>
      </c>
      <c r="M118" t="inlineStr">
        <is>
          <t>Vent Arrière</t>
        </is>
      </c>
      <c r="N118" t="inlineStr">
        <is>
          <t>Abri</t>
        </is>
      </c>
      <c r="O118" t="inlineStr">
        <is>
          <t>Vol</t>
        </is>
      </c>
      <c r="P118" t="inlineStr">
        <is>
          <t>Atterrissage</t>
        </is>
      </c>
      <c r="Q118">
        <f>COUNTA(K118:P118)</f>
        <v/>
      </c>
      <c r="R118" t="inlineStr">
        <is>
          <t>Mur physique, accélérateur d'équipe</t>
        </is>
      </c>
    </row>
    <row r="119">
      <c r="A119" t="inlineStr">
        <is>
          <t>Sœur Aquila</t>
        </is>
      </c>
      <c r="B119" t="inlineStr">
        <is>
          <t>Groupe 5 - Escouade de raid</t>
        </is>
      </c>
      <c r="C119" t="n">
        <v>4</v>
      </c>
      <c r="D119" t="n">
        <v>4</v>
      </c>
      <c r="E119" t="inlineStr">
        <is>
          <t>Étouraptor</t>
        </is>
      </c>
      <c r="H119" t="inlineStr">
        <is>
          <t>Normal-Vol</t>
        </is>
      </c>
      <c r="I119" t="inlineStr">
        <is>
          <t>Intimidation</t>
        </is>
      </c>
      <c r="K119" t="inlineStr">
        <is>
          <t>Rapace</t>
        </is>
      </c>
      <c r="L119" t="inlineStr">
        <is>
          <t>Close Combat</t>
        </is>
      </c>
      <c r="M119" t="inlineStr">
        <is>
          <t>Demi-Tour</t>
        </is>
      </c>
      <c r="N119" t="inlineStr">
        <is>
          <t>Vive-Attaque</t>
        </is>
      </c>
      <c r="O119" t="inlineStr">
        <is>
          <t>Ailes d’Acier</t>
        </is>
      </c>
      <c r="P119" t="inlineStr">
        <is>
          <t>Atterrissage</t>
        </is>
      </c>
      <c r="Q119">
        <f>COUNTA(K119:P119)</f>
        <v/>
      </c>
      <c r="R119" t="inlineStr">
        <is>
          <t>Nettoyeur, pivot</t>
        </is>
      </c>
    </row>
    <row r="120">
      <c r="A120" t="inlineStr">
        <is>
          <t>Sœur Aquila</t>
        </is>
      </c>
      <c r="B120" t="inlineStr">
        <is>
          <t>Groupe 5 - Escouade de raid</t>
        </is>
      </c>
      <c r="C120" t="n">
        <v>4</v>
      </c>
      <c r="D120" t="n">
        <v>5</v>
      </c>
      <c r="E120" t="inlineStr">
        <is>
          <t>Nosferalto</t>
        </is>
      </c>
      <c r="H120" t="inlineStr">
        <is>
          <t>Poison-Vol</t>
        </is>
      </c>
      <c r="I120" t="inlineStr">
        <is>
          <t>Infiltration</t>
        </is>
      </c>
      <c r="K120" t="inlineStr">
        <is>
          <t>Vampirisme</t>
        </is>
      </c>
      <c r="L120" t="inlineStr">
        <is>
          <t>Bombe Beurk</t>
        </is>
      </c>
      <c r="M120" t="inlineStr">
        <is>
          <t>Acrobatie</t>
        </is>
      </c>
      <c r="N120" t="inlineStr">
        <is>
          <t>Toxik</t>
        </is>
      </c>
      <c r="O120" t="inlineStr">
        <is>
          <t>Rapace</t>
        </is>
      </c>
      <c r="P120" t="inlineStr">
        <is>
          <t>Atterrissage</t>
        </is>
      </c>
      <c r="Q120">
        <f>COUNTA(K120:P120)</f>
        <v/>
      </c>
      <c r="R120" t="inlineStr">
        <is>
          <t>Drain, ignore les Abri</t>
        </is>
      </c>
    </row>
    <row r="121">
      <c r="A121" t="inlineStr">
        <is>
          <t>Sœur Aquila</t>
        </is>
      </c>
      <c r="B121" t="inlineStr">
        <is>
          <t>Groupe 5 - Escouade de raid</t>
        </is>
      </c>
      <c r="C121" t="n">
        <v>4</v>
      </c>
      <c r="D121" t="n">
        <v>6</v>
      </c>
      <c r="E121" t="inlineStr">
        <is>
          <t>Rapasdepic</t>
        </is>
      </c>
      <c r="H121" t="inlineStr">
        <is>
          <t>Normal-Vol</t>
        </is>
      </c>
      <c r="I121" t="inlineStr">
        <is>
          <t>Sniper</t>
        </is>
      </c>
      <c r="K121" t="inlineStr">
        <is>
          <t>Bec Vrille</t>
        </is>
      </c>
      <c r="L121" t="inlineStr">
        <is>
          <t>Tunnelier</t>
        </is>
      </c>
      <c r="M121" t="inlineStr">
        <is>
          <t>Assurance</t>
        </is>
      </c>
      <c r="N121" t="inlineStr">
        <is>
          <t>Demi-Tour</t>
        </is>
      </c>
      <c r="O121" t="inlineStr">
        <is>
          <t>Piqué</t>
        </is>
      </c>
      <c r="P121" t="inlineStr">
        <is>
          <t>Hâte</t>
        </is>
      </c>
      <c r="Q121">
        <f>COUNTA(K121:P121)</f>
        <v/>
      </c>
      <c r="R121" t="inlineStr">
        <is>
          <t>Critiques, couverture Sol et Ténèbres</t>
        </is>
      </c>
    </row>
    <row r="122">
      <c r="A122" t="inlineStr">
        <is>
          <t>Frère Heaume</t>
        </is>
      </c>
      <c r="B122" t="inlineStr">
        <is>
          <t>Groupe 5 - Escouade de raid</t>
        </is>
      </c>
      <c r="C122" t="n">
        <v>3</v>
      </c>
      <c r="D122" t="n">
        <v>1</v>
      </c>
      <c r="E122" t="inlineStr">
        <is>
          <t>Exagide</t>
        </is>
      </c>
      <c r="H122" t="inlineStr">
        <is>
          <t>Acier-Spectre</t>
        </is>
      </c>
      <c r="I122" t="inlineStr">
        <is>
          <t>Déclic Tactique</t>
        </is>
      </c>
      <c r="K122" t="inlineStr">
        <is>
          <t>Lame Sainte</t>
        </is>
      </c>
      <c r="L122" t="inlineStr">
        <is>
          <t>Ball’Ombre</t>
        </is>
      </c>
      <c r="M122" t="inlineStr">
        <is>
          <t>Bouclier Royal</t>
        </is>
      </c>
      <c r="N122" t="inlineStr">
        <is>
          <t>Danse Lames</t>
        </is>
      </c>
      <c r="O122" t="inlineStr">
        <is>
          <t>Tête de Fer</t>
        </is>
      </c>
      <c r="P122" t="n"/>
      <c r="Q122">
        <f>COUNTA(K122:P122)</f>
        <v/>
      </c>
      <c r="R122" t="inlineStr">
        <is>
          <t>Cœur du dispositif, mur puis lame</t>
        </is>
      </c>
    </row>
    <row r="123">
      <c r="A123" t="inlineStr">
        <is>
          <t>Frère Heaume</t>
        </is>
      </c>
      <c r="B123" t="inlineStr">
        <is>
          <t>Groupe 5 - Escouade de raid</t>
        </is>
      </c>
      <c r="C123" t="n">
        <v>3</v>
      </c>
      <c r="D123" t="n">
        <v>2</v>
      </c>
      <c r="E123" t="inlineStr">
        <is>
          <t>Airmure</t>
        </is>
      </c>
      <c r="H123" t="inlineStr">
        <is>
          <t>Acier-Vol</t>
        </is>
      </c>
      <c r="I123" t="inlineStr">
        <is>
          <t>Fermeté</t>
        </is>
      </c>
      <c r="K123" t="inlineStr">
        <is>
          <t>Piège de Roc</t>
        </is>
      </c>
      <c r="L123" t="inlineStr">
        <is>
          <t>Picots</t>
        </is>
      </c>
      <c r="M123" t="inlineStr">
        <is>
          <t>Rapace</t>
        </is>
      </c>
      <c r="N123" t="inlineStr">
        <is>
          <t>Cyclone</t>
        </is>
      </c>
      <c r="O123" t="inlineStr">
        <is>
          <t>Vol</t>
        </is>
      </c>
      <c r="P123" t="n"/>
      <c r="Q123">
        <f>COUNTA(K123:P123)</f>
        <v/>
      </c>
      <c r="R123" t="inlineStr">
        <is>
          <t>Poseur de pièges, expulse les switchs</t>
        </is>
      </c>
    </row>
    <row r="124">
      <c r="A124" t="inlineStr">
        <is>
          <t>Frère Heaume</t>
        </is>
      </c>
      <c r="B124" t="inlineStr">
        <is>
          <t>Groupe 5 - Escouade de raid</t>
        </is>
      </c>
      <c r="C124" t="n">
        <v>3</v>
      </c>
      <c r="D124" t="n">
        <v>3</v>
      </c>
      <c r="E124" t="inlineStr">
        <is>
          <t>Scalpereur</t>
        </is>
      </c>
      <c r="H124" t="inlineStr">
        <is>
          <t>Ténèbres-Acier</t>
        </is>
      </c>
      <c r="I124" t="inlineStr">
        <is>
          <t>Acharné</t>
        </is>
      </c>
      <c r="K124" t="inlineStr">
        <is>
          <t>Tranche-Nuit</t>
        </is>
      </c>
      <c r="L124" t="inlineStr">
        <is>
          <t>Tête de Fer</t>
        </is>
      </c>
      <c r="M124" t="inlineStr">
        <is>
          <t>Danse Lames</t>
        </is>
      </c>
      <c r="N124" t="inlineStr">
        <is>
          <t>Provoc</t>
        </is>
      </c>
      <c r="O124" t="inlineStr">
        <is>
          <t>Génusection</t>
        </is>
      </c>
      <c r="P124" t="n"/>
      <c r="Q124">
        <f>COUNTA(K124:P124)</f>
        <v/>
      </c>
      <c r="R124" t="inlineStr">
        <is>
          <t>Frappeur physique, punit les baisses de stats</t>
        </is>
      </c>
    </row>
    <row r="125">
      <c r="A125" t="inlineStr">
        <is>
          <t>Frère Heaume</t>
        </is>
      </c>
      <c r="B125" t="inlineStr">
        <is>
          <t>Groupe 5 - Escouade de raid</t>
        </is>
      </c>
      <c r="C125" t="n">
        <v>3</v>
      </c>
      <c r="D125" t="n">
        <v>4</v>
      </c>
      <c r="E125" t="inlineStr">
        <is>
          <t>Tutankafer</t>
        </is>
      </c>
      <c r="H125" t="inlineStr">
        <is>
          <t>Spectre</t>
        </is>
      </c>
      <c r="I125" t="inlineStr">
        <is>
          <t>Momie</t>
        </is>
      </c>
      <c r="K125" t="inlineStr">
        <is>
          <t>Ball’Ombre</t>
        </is>
      </c>
      <c r="L125" t="inlineStr">
        <is>
          <t>Malédiction</t>
        </is>
      </c>
      <c r="M125" t="inlineStr">
        <is>
          <t>Regard Noir</t>
        </is>
      </c>
      <c r="N125" t="inlineStr">
        <is>
          <t>Abri</t>
        </is>
      </c>
      <c r="O125" t="inlineStr">
        <is>
          <t>Feu Follet</t>
        </is>
      </c>
      <c r="P125" t="n"/>
      <c r="Q125">
        <f>COUNTA(K125:P125)</f>
        <v/>
      </c>
      <c r="R125" t="inlineStr">
        <is>
          <t>Bloque la fuite, éteint les talents au contact</t>
        </is>
      </c>
    </row>
    <row r="126">
      <c r="A126" t="inlineStr">
        <is>
          <t>Frère Heaume</t>
        </is>
      </c>
      <c r="B126" t="inlineStr">
        <is>
          <t>Groupe 5 - Escouade de raid</t>
        </is>
      </c>
      <c r="C126" t="n">
        <v>3</v>
      </c>
      <c r="D126" t="n">
        <v>5</v>
      </c>
      <c r="E126" t="inlineStr">
        <is>
          <t>Dimoclès</t>
        </is>
      </c>
      <c r="H126" t="inlineStr">
        <is>
          <t>Acier-Spectre</t>
        </is>
      </c>
      <c r="I126" t="inlineStr">
        <is>
          <t>Annule Garde</t>
        </is>
      </c>
      <c r="K126" t="inlineStr">
        <is>
          <t>Lame Sainte</t>
        </is>
      </c>
      <c r="L126" t="inlineStr">
        <is>
          <t>Griffe Ombre</t>
        </is>
      </c>
      <c r="M126" t="inlineStr">
        <is>
          <t>Danse Lames</t>
        </is>
      </c>
      <c r="N126" t="inlineStr">
        <is>
          <t>Tête de Fer</t>
        </is>
      </c>
      <c r="O126" t="inlineStr">
        <is>
          <t>Tranche-Nuit</t>
        </is>
      </c>
      <c r="P126" t="n"/>
      <c r="Q126">
        <f>COUNTA(K126:P126)</f>
        <v/>
      </c>
      <c r="R126" t="inlineStr">
        <is>
          <t>Seconde lame, frappes garanties</t>
        </is>
      </c>
    </row>
    <row r="127">
      <c r="A127" t="inlineStr">
        <is>
          <t>Frère Piqueux</t>
        </is>
      </c>
      <c r="B127" t="inlineStr">
        <is>
          <t>Groupe 5 - Escouade de raid</t>
        </is>
      </c>
      <c r="C127" t="n">
        <v>2</v>
      </c>
      <c r="D127" t="n">
        <v>1</v>
      </c>
      <c r="E127" t="inlineStr">
        <is>
          <t>Démolosse</t>
        </is>
      </c>
      <c r="H127" t="inlineStr">
        <is>
          <t>Ténèbres-Feu</t>
        </is>
      </c>
      <c r="I127" t="inlineStr">
        <is>
          <t>Torche</t>
        </is>
      </c>
      <c r="K127" t="inlineStr">
        <is>
          <t>Lance-Flammes</t>
        </is>
      </c>
      <c r="L127" t="inlineStr">
        <is>
          <t>Vibrobscur</t>
        </is>
      </c>
      <c r="M127" t="inlineStr">
        <is>
          <t>Feu Follet</t>
        </is>
      </c>
      <c r="N127" t="inlineStr">
        <is>
          <t>Machination</t>
        </is>
      </c>
      <c r="O127" t="inlineStr">
        <is>
          <t>Coup Bas</t>
        </is>
      </c>
      <c r="P127" t="n"/>
      <c r="Q127">
        <f>COUNTA(K127:P127)</f>
        <v/>
      </c>
      <c r="R127" t="inlineStr">
        <is>
          <t>Chef de meute, frappeur spécial</t>
        </is>
      </c>
    </row>
    <row r="128">
      <c r="A128" t="inlineStr">
        <is>
          <t>Frère Piqueux</t>
        </is>
      </c>
      <c r="B128" t="inlineStr">
        <is>
          <t>Groupe 5 - Escouade de raid</t>
        </is>
      </c>
      <c r="C128" t="n">
        <v>2</v>
      </c>
      <c r="D128" t="n">
        <v>2</v>
      </c>
      <c r="E128" t="inlineStr">
        <is>
          <t>Grahyèna</t>
        </is>
      </c>
      <c r="H128" t="inlineStr">
        <is>
          <t>Ténèbres</t>
        </is>
      </c>
      <c r="I128" t="inlineStr">
        <is>
          <t>Intimidation</t>
        </is>
      </c>
      <c r="K128" t="inlineStr">
        <is>
          <t>Tricherie</t>
        </is>
      </c>
      <c r="L128" t="inlineStr">
        <is>
          <t>Coup Bas</t>
        </is>
      </c>
      <c r="M128" t="inlineStr">
        <is>
          <t>Mâchouille</t>
        </is>
      </c>
      <c r="N128" t="inlineStr">
        <is>
          <t>Hurlement</t>
        </is>
      </c>
      <c r="O128" t="inlineStr">
        <is>
          <t>Crocs Givre</t>
        </is>
      </c>
      <c r="P128" t="n"/>
      <c r="Q128">
        <f>COUNTA(K128:P128)</f>
        <v/>
      </c>
      <c r="R128" t="inlineStr">
        <is>
          <t>Harcèlement, retourne la force adverse</t>
        </is>
      </c>
    </row>
    <row r="129">
      <c r="A129" t="inlineStr">
        <is>
          <t>Frère Piqueux</t>
        </is>
      </c>
      <c r="B129" t="inlineStr">
        <is>
          <t>Groupe 5 - Escouade de raid</t>
        </is>
      </c>
      <c r="C129" t="n">
        <v>2</v>
      </c>
      <c r="D129" t="n">
        <v>3</v>
      </c>
      <c r="E129" t="inlineStr">
        <is>
          <t>Lougaroc</t>
        </is>
      </c>
      <c r="H129" t="inlineStr">
        <is>
          <t>Roche</t>
        </is>
      </c>
      <c r="I129" t="inlineStr">
        <is>
          <t>Regard Vif</t>
        </is>
      </c>
      <c r="K129" t="inlineStr">
        <is>
          <t>Lame de Roc</t>
        </is>
      </c>
      <c r="L129" t="inlineStr">
        <is>
          <t>Vif Roc</t>
        </is>
      </c>
      <c r="M129" t="inlineStr">
        <is>
          <t>Close Combat</t>
        </is>
      </c>
      <c r="N129" t="inlineStr">
        <is>
          <t>Danse Lames</t>
        </is>
      </c>
      <c r="O129" t="inlineStr">
        <is>
          <t>Mâchouille</t>
        </is>
      </c>
      <c r="P129" t="n"/>
      <c r="Q129">
        <f>COUNTA(K129:P129)</f>
        <v/>
      </c>
      <c r="R129" t="inlineStr">
        <is>
          <t>Rabatteur, priorité — forme à choisir</t>
        </is>
      </c>
    </row>
    <row r="130">
      <c r="A130" t="inlineStr">
        <is>
          <t>Frère Piqueux</t>
        </is>
      </c>
      <c r="B130" t="inlineStr">
        <is>
          <t>Groupe 5 - Escouade de raid</t>
        </is>
      </c>
      <c r="C130" t="n">
        <v>2</v>
      </c>
      <c r="D130" t="n">
        <v>4</v>
      </c>
      <c r="E130" t="inlineStr">
        <is>
          <t>Malosse</t>
        </is>
      </c>
      <c r="H130" t="inlineStr">
        <is>
          <t>Ténèbres-Feu</t>
        </is>
      </c>
      <c r="I130" t="inlineStr">
        <is>
          <t>Torche</t>
        </is>
      </c>
      <c r="K130" t="inlineStr">
        <is>
          <t>Mâchouille</t>
        </is>
      </c>
      <c r="L130" t="inlineStr">
        <is>
          <t>Flammèche</t>
        </is>
      </c>
      <c r="M130" t="inlineStr">
        <is>
          <t>Feu Follet</t>
        </is>
      </c>
      <c r="N130" t="inlineStr">
        <is>
          <t>Hurlement</t>
        </is>
      </c>
      <c r="O130" t="inlineStr">
        <is>
          <t>Crocs Feu</t>
        </is>
      </c>
      <c r="P130" t="n"/>
      <c r="Q130">
        <f>COUNTA(K130:P130)</f>
        <v/>
      </c>
      <c r="R130" t="inlineStr">
        <is>
          <t>Jeune de la meute, brûle et se retire</t>
        </is>
      </c>
    </row>
    <row r="131">
      <c r="A131" t="inlineStr">
        <is>
          <t>Frère Miasme</t>
        </is>
      </c>
      <c r="B131" t="inlineStr">
        <is>
          <t>Groupe 5 - Escouade de raid</t>
        </is>
      </c>
      <c r="C131" t="n">
        <v>2</v>
      </c>
      <c r="D131" t="n">
        <v>1</v>
      </c>
      <c r="E131" t="inlineStr">
        <is>
          <t>Grotadmorv d'Alola</t>
        </is>
      </c>
      <c r="H131" t="inlineStr">
        <is>
          <t>Poison-Ténèbres</t>
        </is>
      </c>
      <c r="I131" t="inlineStr">
        <is>
          <t>Toxitouche</t>
        </is>
      </c>
      <c r="K131" t="inlineStr">
        <is>
          <t>Mâchouille</t>
        </is>
      </c>
      <c r="L131" t="inlineStr">
        <is>
          <t>Direct Toxik</t>
        </is>
      </c>
      <c r="M131" t="inlineStr">
        <is>
          <t>Cradovague</t>
        </is>
      </c>
      <c r="N131" t="inlineStr">
        <is>
          <t>Repos</t>
        </is>
      </c>
      <c r="O131" t="inlineStr">
        <is>
          <t>Poing Glace</t>
        </is>
      </c>
      <c r="P131" t="n"/>
      <c r="Q131">
        <f>COUNTA(K131:P131)</f>
        <v/>
      </c>
      <c r="R131" t="inlineStr">
        <is>
          <t>Tank, empoisonne au contact</t>
        </is>
      </c>
    </row>
    <row r="132">
      <c r="A132" t="inlineStr">
        <is>
          <t>Frère Miasme</t>
        </is>
      </c>
      <c r="B132" t="inlineStr">
        <is>
          <t>Groupe 5 - Escouade de raid</t>
        </is>
      </c>
      <c r="C132" t="n">
        <v>2</v>
      </c>
      <c r="D132" t="n">
        <v>2</v>
      </c>
      <c r="E132" t="inlineStr">
        <is>
          <t>Smogogo de Galar</t>
        </is>
      </c>
      <c r="H132" t="inlineStr">
        <is>
          <t>Poison-Fée</t>
        </is>
      </c>
      <c r="I132" t="inlineStr">
        <is>
          <t>Lévitation</t>
        </is>
      </c>
      <c r="K132" t="inlineStr">
        <is>
          <t>Éclat Magique</t>
        </is>
      </c>
      <c r="L132" t="inlineStr">
        <is>
          <t>Bombe Beurk</t>
        </is>
      </c>
      <c r="M132" t="inlineStr">
        <is>
          <t>Feu Follet</t>
        </is>
      </c>
      <c r="N132" t="inlineStr">
        <is>
          <t>Toxik</t>
        </is>
      </c>
      <c r="O132" t="inlineStr">
        <is>
          <t>Vapeur Féérique</t>
        </is>
      </c>
      <c r="P132" t="n"/>
      <c r="Q132">
        <f>COUNTA(K132:P132)</f>
        <v/>
      </c>
      <c r="R132" t="inlineStr">
        <is>
          <t>Mur spécial, immunisé au Sol</t>
        </is>
      </c>
    </row>
    <row r="133">
      <c r="A133" t="inlineStr">
        <is>
          <t>Frère Miasme</t>
        </is>
      </c>
      <c r="B133" t="inlineStr">
        <is>
          <t>Groupe 5 - Escouade de raid</t>
        </is>
      </c>
      <c r="C133" t="n">
        <v>2</v>
      </c>
      <c r="D133" t="n">
        <v>3</v>
      </c>
      <c r="E133" t="inlineStr">
        <is>
          <t>Rattatac d'Alola</t>
        </is>
      </c>
      <c r="H133" t="inlineStr">
        <is>
          <t>Ténèbres-Normal</t>
        </is>
      </c>
      <c r="I133" t="inlineStr">
        <is>
          <t>Agitation</t>
        </is>
      </c>
      <c r="K133" t="inlineStr">
        <is>
          <t>Mâchouille</t>
        </is>
      </c>
      <c r="L133" t="inlineStr">
        <is>
          <t>Croc de Mort</t>
        </is>
      </c>
      <c r="M133" t="inlineStr">
        <is>
          <t>Coup Bas</t>
        </is>
      </c>
      <c r="N133" t="inlineStr">
        <is>
          <t>Danse Lames</t>
        </is>
      </c>
      <c r="O133" t="inlineStr">
        <is>
          <t>Vive-Attaque</t>
        </is>
      </c>
      <c r="P133" t="n"/>
      <c r="Q133">
        <f>COUNTA(K133:P133)</f>
        <v/>
      </c>
      <c r="R133" t="inlineStr">
        <is>
          <t>Harcèlement, priorité</t>
        </is>
      </c>
    </row>
    <row r="134">
      <c r="A134" t="inlineStr">
        <is>
          <t>Frère Miasme</t>
        </is>
      </c>
      <c r="B134" t="inlineStr">
        <is>
          <t>Groupe 5 - Escouade de raid</t>
        </is>
      </c>
      <c r="C134" t="n">
        <v>2</v>
      </c>
      <c r="D134" t="n">
        <v>4</v>
      </c>
      <c r="E134" t="inlineStr">
        <is>
          <t>Arbok</t>
        </is>
      </c>
      <c r="H134" t="inlineStr">
        <is>
          <t>Poison</t>
        </is>
      </c>
      <c r="I134" t="inlineStr">
        <is>
          <t>Intimidation</t>
        </is>
      </c>
      <c r="K134" t="inlineStr">
        <is>
          <t>Direct Toxik</t>
        </is>
      </c>
      <c r="L134" t="inlineStr">
        <is>
          <t>Séisme</t>
        </is>
      </c>
      <c r="M134" t="inlineStr">
        <is>
          <t>Enroulement</t>
        </is>
      </c>
      <c r="N134" t="inlineStr">
        <is>
          <t>Toxik</t>
        </is>
      </c>
      <c r="O134" t="inlineStr">
        <is>
          <t>Coup Bas</t>
        </is>
      </c>
      <c r="P134" t="n"/>
      <c r="Q134">
        <f>COUNTA(K134:P134)</f>
        <v/>
      </c>
      <c r="R134" t="inlineStr">
        <is>
          <t>Contrôle, affaiblit les frappeurs</t>
        </is>
      </c>
    </row>
  </sheetData>
  <autoFilter ref="A1:R11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41" min="1" max="1"/>
    <col width="130" customWidth="1" style="41" min="2" max="2"/>
  </cols>
  <sheetData>
    <row r="1" ht="17.25" customHeight="1" s="42">
      <c r="A1" s="43" t="inlineStr">
        <is>
          <t>Mode d'emploi</t>
        </is>
      </c>
      <c r="B1" s="44" t="n"/>
    </row>
    <row r="2" ht="15" customHeight="1" s="42">
      <c r="A2" s="44" t="n"/>
      <c r="B2" s="44" t="n"/>
    </row>
    <row r="3" ht="39.75" customHeight="1" s="42">
      <c r="A3" s="44" t="inlineStr">
        <is>
          <t>Source</t>
        </is>
      </c>
      <c r="B3" s="44" t="inlineStr">
        <is>
          <t>Tout vient uniquement de ce qui a été posté dans la conversation. Rien n'a été inventé ni complété de mémoire : une case vide est une donnée jamais donnée.</t>
        </is>
      </c>
    </row>
    <row r="4" ht="39.75" customHeight="1" s="42">
      <c r="A4" s="44" t="inlineStr">
        <is>
          <t>Où saisir</t>
        </is>
      </c>
      <c r="B4" s="44" t="inlineStr">
        <is>
          <t>On ne saisit que dans « Compétences » et « Équipes Pokémon » : une ligne par compétence, une ligne par Pokémon. Les onglets « Récap troufions » et « Compétences officielles » se mettent à jour tout seuls.</t>
        </is>
      </c>
    </row>
    <row r="5" ht="39.75" customHeight="1" s="42">
      <c r="A5" s="44" t="inlineStr">
        <is>
          <t>Compétence officielle</t>
        </is>
      </c>
      <c r="B5" s="44" t="inlineStr">
        <is>
          <t>Colonne E de l'onglet Compétences : liste déroulante limitée aux 18 compétences officielles. C'est elle que lisent les totaux — la colonne D ne garde que le libellé tel qu'il avait été posté, pour retrouver la source.</t>
        </is>
      </c>
    </row>
    <row r="6" ht="39.75" customHeight="1" s="42">
      <c r="A6" s="44" t="inlineStr">
        <is>
          <t>Colonnes calculées</t>
        </is>
      </c>
      <c r="B6" s="44" t="inlineStr">
        <is>
          <t>Récap H, I, K, L, N et Équipes Q sont des formules. Ne pas y écrire à la main : recopier la formule de la ligne du dessus pour un nouveau personnage.</t>
        </is>
      </c>
    </row>
    <row r="7" ht="39.75" customHeight="1" s="42">
      <c r="A7" s="44" t="inlineStr">
        <is>
          <t>Budget attendu</t>
        </is>
      </c>
      <c r="B7" s="44" t="inlineStr">
        <is>
          <t>Récap colonne J = 2 + 2 × badges, vérifié sur les 20 troufions sans exception. Affiche « n/a » pour les Évêques Sombres, qui suivent une grille de rang.</t>
        </is>
      </c>
    </row>
    <row r="8" ht="39.75" customHeight="1" s="42">
      <c r="A8" s="44" t="inlineStr">
        <is>
          <t>Nb attendu (Pokémon)</t>
        </is>
      </c>
      <c r="B8" s="44" t="inlineStr">
        <is>
          <t>Récap colonne M = badges + 2, plafonné à 6. Même portée : troufions seulement.</t>
        </is>
      </c>
    </row>
    <row r="9" ht="39.75" customHeight="1" s="42">
      <c r="A9" s="44" t="inlineStr">
        <is>
          <t>Écart</t>
        </is>
      </c>
      <c r="B9" s="44" t="inlineStr">
        <is>
          <t>Zéro = conforme au barème. Une valeur négative = il manque des points ou un Pokémon. « n/c » = donnée pas encore postée, donc rien à comparer.</t>
        </is>
      </c>
    </row>
    <row r="10" ht="39.75" customHeight="1" s="42">
      <c r="A10" s="44" t="inlineStr">
        <is>
          <t>Code couleur</t>
        </is>
      </c>
      <c r="B10" s="44" t="inlineStr">
        <is>
          <t>Jaune = donnée jamais communiquée, à récupérer. Rouge dans les colonnes « Écart » = personnage en dessous du barème. Rouge dans la colonne « Valeur » de l'onglet Compétences = malus volontaire (seul cas : Athlétisme −2 de Frère Menu). Bleu clair = libellé de compétence corrigé vers son nom officiel. Mauve = compétence cachée ou réservée aux PNJ.</t>
        </is>
      </c>
    </row>
    <row r="11" ht="39.75" customHeight="1" s="42">
      <c r="A11" s="44" t="inlineStr">
        <is>
          <t>Exemple de saisie</t>
        </is>
      </c>
      <c r="B11" s="44" t="inlineStr">
        <is>
          <t>Onglet Compétences : « Frère Untel | Groupe 2 | 2 | Stratège | Stratégie | 2 » — colonne 4 le libellé posté, colonne 5 le libellé normalisé. Onglet Équipes : « Frère Untel | Groupe 2 | 2 | 1 | Rattata | | Normal | Agitation | | Vive-Attaque | Morsure | ... ».</t>
        </is>
      </c>
    </row>
    <row r="12" ht="39.75" customHeight="1" s="42">
      <c r="A12" s="44" t="inlineStr">
        <is>
          <t>Filtres</t>
        </is>
      </c>
      <c r="B12" s="44" t="inlineStr">
        <is>
          <t>Les trois onglets de données ont un filtre automatique : on peut isoler un groupe, un palier de badges, ou toutes les équipes contenant un type donné.</t>
        </is>
      </c>
    </row>
    <row r="13" ht="15" customHeight="1" s="42">
      <c r="A13" s="61" t="inlineStr">
        <is>
          <t>Compétences officielles</t>
        </is>
      </c>
      <c r="B13" s="73" t="inlineStr">
        <is>
          <t>L'onglet a été supprimé. La liste déroulante de la colonne E de « Compétences » contient désormais les 18 libellés en dur : Stratège, Coach, Observateur, Social, Psychologue, Chuchoteur, Naturalisme, Secourisme, Survivaliste, Athlétisme, Infiltrateur, Cuisine, Technicien, Marchand, Baston, Ésotérisme, Théologie, Construction.</t>
        </is>
      </c>
    </row>
    <row r="14" ht="15" customHeight="1" s="42">
      <c r="A14" s="61" t="inlineStr">
        <is>
          <t>Colonnes Portrait</t>
        </is>
      </c>
      <c r="B14" s="73" t="inlineStr">
        <is>
          <t>Deux portraits par personnage : « cultiste » (tenue et rôle au sein de l'Ordre) et « civil » (identité de couverture). Cas particulier de Modulo, personnage à deux voix : la colonne cultiste porte Ren (persona masculine, combat, voix de la secte) et la colonne civile porte Run (persona féminine, scène et idol). Cellule vide et colorée = portrait pas encore fourni.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37"/>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30" customWidth="1" style="41" min="1" max="1"/>
    <col width="24" customWidth="1" style="41" min="2" max="2"/>
    <col width="9" customWidth="1" style="41" min="3" max="3"/>
    <col width="17" customWidth="1" style="41" min="4" max="4"/>
    <col width="22" customWidth="1" style="41" min="5" max="5"/>
  </cols>
  <sheetData>
    <row r="1" ht="17.25" customHeight="1" s="42">
      <c r="A1" s="43" t="inlineStr">
        <is>
          <t>Répartition en groupes (telle que postée)</t>
        </is>
      </c>
      <c r="B1" s="44" t="n"/>
      <c r="C1" s="44" t="n"/>
      <c r="D1" s="44" t="n"/>
      <c r="E1" s="44" t="n"/>
    </row>
    <row r="2" ht="30" customHeight="1" s="42">
      <c r="A2" s="46" t="n"/>
      <c r="B2" s="46" t="n"/>
      <c r="C2" s="46" t="n"/>
      <c r="D2" s="46" t="n"/>
      <c r="E2" s="46" t="n"/>
    </row>
    <row r="3" ht="15" customHeight="1" s="42">
      <c r="A3" s="48" t="inlineStr">
        <is>
          <t>Groupe 1 - Famille Raccourci</t>
        </is>
      </c>
      <c r="B3" s="48" t="inlineStr">
        <is>
          <t>Frère Boule</t>
        </is>
      </c>
      <c r="C3" s="48" t="n">
        <v>5</v>
      </c>
      <c r="D3" s="48" t="inlineStr">
        <is>
          <t>Oui</t>
        </is>
      </c>
      <c r="E3" s="48" t="inlineStr">
        <is>
          <t>Troufion</t>
        </is>
      </c>
    </row>
    <row r="4" ht="15" customHeight="1" s="42">
      <c r="A4" s="48" t="inlineStr">
        <is>
          <t>Groupe 1 - Famille Raccourci</t>
        </is>
      </c>
      <c r="B4" s="48" t="inlineStr">
        <is>
          <t>Frère Fouras</t>
        </is>
      </c>
      <c r="C4" s="48" t="n">
        <v>4</v>
      </c>
      <c r="D4" s="48" t="inlineStr">
        <is>
          <t>Oui</t>
        </is>
      </c>
      <c r="E4" s="48" t="inlineStr">
        <is>
          <t>Troufion</t>
        </is>
      </c>
    </row>
    <row r="5" ht="15" customHeight="1" s="42">
      <c r="A5" s="48" t="inlineStr">
        <is>
          <t>Groupe 1 - Famille Raccourci</t>
        </is>
      </c>
      <c r="B5" s="48" t="inlineStr">
        <is>
          <t>Sœur Dame Blanche</t>
        </is>
      </c>
      <c r="C5" s="48" t="n">
        <v>3</v>
      </c>
      <c r="D5" s="48" t="inlineStr">
        <is>
          <t>Oui</t>
        </is>
      </c>
      <c r="E5" s="48" t="inlineStr">
        <is>
          <t>Troufion</t>
        </is>
      </c>
    </row>
    <row r="6" ht="15" customHeight="1" s="42">
      <c r="A6" s="48" t="inlineStr">
        <is>
          <t>Groupe 1 - Famille Raccourci</t>
        </is>
      </c>
      <c r="B6" s="48" t="inlineStr">
        <is>
          <t>Frère Tigre</t>
        </is>
      </c>
      <c r="C6" s="48" t="n">
        <v>2</v>
      </c>
      <c r="D6" s="48" t="inlineStr">
        <is>
          <t>Oui</t>
        </is>
      </c>
      <c r="E6" s="48" t="inlineStr">
        <is>
          <t>Troufion</t>
        </is>
      </c>
    </row>
    <row r="7" ht="15" customHeight="1" s="42">
      <c r="A7" s="48" t="inlineStr">
        <is>
          <t>Groupe 1 - Famille Raccourci</t>
        </is>
      </c>
      <c r="B7" s="48" t="inlineStr">
        <is>
          <t>Frère Passe</t>
        </is>
      </c>
      <c r="C7" s="48" t="n">
        <v>1</v>
      </c>
      <c r="D7" s="48" t="inlineStr">
        <is>
          <t>Oui</t>
        </is>
      </c>
      <c r="E7" s="48" t="inlineStr">
        <is>
          <t>Troufion</t>
        </is>
      </c>
    </row>
    <row r="8" ht="15" customHeight="1" s="42">
      <c r="A8" s="51" t="inlineStr">
        <is>
          <t>Groupe 2</t>
        </is>
      </c>
      <c r="B8" s="51" t="inlineStr">
        <is>
          <t>Frère Jack</t>
        </is>
      </c>
      <c r="C8" s="51" t="n">
        <v>5</v>
      </c>
      <c r="D8" s="51" t="inlineStr">
        <is>
          <t>Oui</t>
        </is>
      </c>
      <c r="E8" s="51" t="inlineStr">
        <is>
          <t>Troufion</t>
        </is>
      </c>
    </row>
    <row r="9" ht="15" customHeight="1" s="42">
      <c r="A9" s="51" t="inlineStr">
        <is>
          <t>Groupe 2</t>
        </is>
      </c>
      <c r="B9" s="51" t="inlineStr">
        <is>
          <t>Sœur Vouivre</t>
        </is>
      </c>
      <c r="C9" s="51" t="n">
        <v>4</v>
      </c>
      <c r="D9" s="51" t="inlineStr">
        <is>
          <t>Oui</t>
        </is>
      </c>
      <c r="E9" s="51" t="inlineStr">
        <is>
          <t>Troufion</t>
        </is>
      </c>
    </row>
    <row r="10" ht="15" customHeight="1" s="42">
      <c r="A10" s="51" t="inlineStr">
        <is>
          <t>Groupe 2</t>
        </is>
      </c>
      <c r="B10" s="51" t="inlineStr">
        <is>
          <t>Frère Menu</t>
        </is>
      </c>
      <c r="C10" s="51" t="n">
        <v>3</v>
      </c>
      <c r="D10" s="51" t="inlineStr">
        <is>
          <t>Oui</t>
        </is>
      </c>
      <c r="E10" s="51" t="inlineStr">
        <is>
          <t>Troufion</t>
        </is>
      </c>
    </row>
    <row r="11" ht="15" customHeight="1" s="42">
      <c r="A11" s="51" t="inlineStr">
        <is>
          <t>Groupe 2</t>
        </is>
      </c>
      <c r="B11" s="51" t="inlineStr">
        <is>
          <t>Sœur Gardienne</t>
        </is>
      </c>
      <c r="C11" s="51" t="n">
        <v>3</v>
      </c>
      <c r="D11" s="51" t="inlineStr">
        <is>
          <t>Oui</t>
        </is>
      </c>
      <c r="E11" s="51" t="inlineStr">
        <is>
          <t>Troufion</t>
        </is>
      </c>
    </row>
    <row r="12" ht="15" customHeight="1" s="42">
      <c r="A12" s="51" t="inlineStr">
        <is>
          <t>Groupe 2</t>
        </is>
      </c>
      <c r="B12" s="51" t="inlineStr">
        <is>
          <t>Frère Bihainebi (Denis)</t>
        </is>
      </c>
      <c r="C12" s="51" t="n">
        <v>2</v>
      </c>
      <c r="D12" s="51" t="inlineStr">
        <is>
          <t>Oui</t>
        </is>
      </c>
      <c r="E12" s="51" t="inlineStr">
        <is>
          <t>Troufion</t>
        </is>
      </c>
    </row>
    <row r="13" ht="15" customHeight="1" s="42">
      <c r="A13" s="51" t="inlineStr">
        <is>
          <t>Groupe 2</t>
        </is>
      </c>
      <c r="B13" s="51" t="inlineStr">
        <is>
          <t>Frère Pump</t>
        </is>
      </c>
      <c r="C13" s="51" t="n">
        <v>2</v>
      </c>
      <c r="D13" s="51" t="inlineStr">
        <is>
          <t>Oui</t>
        </is>
      </c>
      <c r="E13" s="51" t="inlineStr">
        <is>
          <t>Troufion</t>
        </is>
      </c>
    </row>
    <row r="14" ht="15" customHeight="1" s="42">
      <c r="A14" s="51" t="inlineStr">
        <is>
          <t>Groupe 2</t>
        </is>
      </c>
      <c r="B14" s="51" t="inlineStr">
        <is>
          <t>Frère Dump</t>
        </is>
      </c>
      <c r="C14" s="51" t="n">
        <v>2</v>
      </c>
      <c r="D14" s="51" t="inlineStr">
        <is>
          <t>Oui</t>
        </is>
      </c>
      <c r="E14" s="51" t="inlineStr">
        <is>
          <t>Troufion</t>
        </is>
      </c>
    </row>
    <row r="15" ht="15" customHeight="1" s="42">
      <c r="A15" s="51" t="inlineStr">
        <is>
          <t>Groupe 2</t>
        </is>
      </c>
      <c r="B15" s="51" t="inlineStr">
        <is>
          <t>Frère Junior</t>
        </is>
      </c>
      <c r="C15" s="51" t="n">
        <v>1</v>
      </c>
      <c r="D15" s="51" t="inlineStr">
        <is>
          <t>Oui</t>
        </is>
      </c>
      <c r="E15" s="51" t="inlineStr">
        <is>
          <t>Troufion</t>
        </is>
      </c>
    </row>
    <row r="16" ht="15" customHeight="1" s="42">
      <c r="A16" s="55" t="inlineStr">
        <is>
          <t>Groupe 3</t>
        </is>
      </c>
      <c r="B16" s="55" t="inlineStr">
        <is>
          <t>Frère Rapace</t>
        </is>
      </c>
      <c r="C16" s="55" t="n">
        <v>5</v>
      </c>
      <c r="D16" s="55" t="inlineStr">
        <is>
          <t>Oui</t>
        </is>
      </c>
      <c r="E16" s="55" t="inlineStr">
        <is>
          <t>Troufion</t>
        </is>
      </c>
    </row>
    <row r="17" ht="15" customHeight="1" s="42">
      <c r="A17" s="55" t="inlineStr">
        <is>
          <t>Groupe 3</t>
        </is>
      </c>
      <c r="B17" s="55" t="inlineStr">
        <is>
          <t>Frère Maskass</t>
        </is>
      </c>
      <c r="C17" s="55" t="n">
        <v>4</v>
      </c>
      <c r="D17" s="55" t="inlineStr">
        <is>
          <t>Oui</t>
        </is>
      </c>
      <c r="E17" s="55" t="inlineStr">
        <is>
          <t>Troufion</t>
        </is>
      </c>
    </row>
    <row r="18" ht="15" customHeight="1" s="42">
      <c r="A18" s="55" t="inlineStr">
        <is>
          <t>Groupe 3</t>
        </is>
      </c>
      <c r="B18" s="55" t="inlineStr">
        <is>
          <t>Sœur Ours</t>
        </is>
      </c>
      <c r="C18" s="55" t="n">
        <v>1</v>
      </c>
      <c r="D18" s="55" t="inlineStr">
        <is>
          <t>Oui</t>
        </is>
      </c>
      <c r="E18" s="55" t="inlineStr">
        <is>
          <t>Troufion</t>
        </is>
      </c>
    </row>
    <row r="19" ht="15" customHeight="1" s="42">
      <c r="A19" s="55" t="inlineStr">
        <is>
          <t>Groupe 3</t>
        </is>
      </c>
      <c r="B19" s="59" t="inlineStr">
        <is>
          <t>Frère Dark</t>
        </is>
      </c>
      <c r="C19" s="55" t="inlineStr">
        <is>
          <t>—</t>
        </is>
      </c>
      <c r="D19" s="55" t="inlineStr">
        <is>
          <t>Oui</t>
        </is>
      </c>
      <c r="E19" s="59" t="inlineStr">
        <is>
          <t>PJ — Évêque Sombre</t>
        </is>
      </c>
    </row>
    <row r="20" ht="15" customHeight="1" s="42">
      <c r="A20" s="55" t="inlineStr">
        <is>
          <t>Groupe 3</t>
        </is>
      </c>
      <c r="B20" s="59" t="inlineStr">
        <is>
          <t>Sœur Automne</t>
        </is>
      </c>
      <c r="C20" s="55" t="inlineStr">
        <is>
          <t>—</t>
        </is>
      </c>
      <c r="D20" s="55" t="inlineStr">
        <is>
          <t>Oui</t>
        </is>
      </c>
      <c r="E20" s="59" t="inlineStr">
        <is>
          <t>PJ — Évêque Sombre</t>
        </is>
      </c>
    </row>
    <row r="21" ht="15" customHeight="1" s="42">
      <c r="A21" s="53" t="inlineStr">
        <is>
          <t>Groupe 4</t>
        </is>
      </c>
      <c r="B21" s="53" t="inlineStr">
        <is>
          <t>Frère Pierrot</t>
        </is>
      </c>
      <c r="C21" s="53" t="n">
        <v>5</v>
      </c>
      <c r="D21" s="53" t="inlineStr">
        <is>
          <t>Oui</t>
        </is>
      </c>
      <c r="E21" s="53" t="inlineStr">
        <is>
          <t>Troufion</t>
        </is>
      </c>
    </row>
    <row r="22" ht="15" customHeight="1" s="42">
      <c r="A22" s="53" t="inlineStr">
        <is>
          <t>Groupe 4</t>
        </is>
      </c>
      <c r="B22" s="53" t="inlineStr">
        <is>
          <t>Frère Dictateur</t>
        </is>
      </c>
      <c r="C22" s="53" t="n">
        <v>4</v>
      </c>
      <c r="D22" s="53" t="inlineStr">
        <is>
          <t>Oui</t>
        </is>
      </c>
      <c r="E22" s="53" t="inlineStr">
        <is>
          <t>Troufion</t>
        </is>
      </c>
    </row>
    <row r="23" ht="15" customHeight="1" s="42">
      <c r="A23" s="53" t="inlineStr">
        <is>
          <t>Groupe 4</t>
        </is>
      </c>
      <c r="B23" s="53" t="inlineStr">
        <is>
          <t>Sœur Pie</t>
        </is>
      </c>
      <c r="C23" s="53" t="n">
        <v>3</v>
      </c>
      <c r="D23" s="53" t="inlineStr">
        <is>
          <t>Oui</t>
        </is>
      </c>
      <c r="E23" s="53" t="inlineStr">
        <is>
          <t>Troufion</t>
        </is>
      </c>
    </row>
    <row r="24" ht="15" customHeight="1" s="42">
      <c r="A24" s="53" t="inlineStr">
        <is>
          <t>Groupe 4</t>
        </is>
      </c>
      <c r="B24" s="59" t="inlineStr">
        <is>
          <t>Modulo</t>
        </is>
      </c>
      <c r="C24" s="53" t="inlineStr">
        <is>
          <t>—</t>
        </is>
      </c>
      <c r="D24" s="53" t="inlineStr">
        <is>
          <t>Oui</t>
        </is>
      </c>
      <c r="E24" s="59" t="inlineStr">
        <is>
          <t>PJ — Évêque Sombre</t>
        </is>
      </c>
    </row>
    <row r="25" ht="15" customHeight="1" s="42">
      <c r="A25" s="57" t="inlineStr">
        <is>
          <t>Sans groupe (restants)</t>
        </is>
      </c>
      <c r="B25" s="57" t="inlineStr">
        <is>
          <t>Frère Nasse</t>
        </is>
      </c>
      <c r="C25" s="57" t="n">
        <v>1</v>
      </c>
      <c r="D25" s="57" t="inlineStr">
        <is>
          <t>Oui</t>
        </is>
      </c>
      <c r="E25" s="57" t="inlineStr">
        <is>
          <t>Troufion</t>
        </is>
      </c>
    </row>
    <row r="26" ht="15" customHeight="1" s="42">
      <c r="A26" s="74" t="inlineStr">
        <is>
          <t>Logistique</t>
        </is>
      </c>
      <c r="B26" s="74" t="inlineStr">
        <is>
          <t>Bardella</t>
        </is>
      </c>
      <c r="C26" s="74" t="inlineStr">
        <is>
          <t>—</t>
        </is>
      </c>
      <c r="D26" s="74" t="inlineStr">
        <is>
          <t>Non</t>
        </is>
      </c>
      <c r="E26" s="74" t="inlineStr">
        <is>
          <t>—</t>
        </is>
      </c>
    </row>
    <row r="27" ht="15" customHeight="1" s="42">
      <c r="A27" s="60" t="n"/>
      <c r="B27" s="60" t="n"/>
      <c r="C27" s="60" t="n"/>
      <c r="D27" s="60" t="n"/>
      <c r="E27" s="60" t="n"/>
    </row>
    <row r="28" ht="15" customHeight="1" s="42">
      <c r="A28" s="75" t="inlineStr">
        <is>
          <t>Composition du Groupe 2 (« groupe du ballon ») — 8 membres :</t>
        </is>
      </c>
      <c r="B28" s="60" t="n"/>
      <c r="C28" s="60" t="n"/>
      <c r="D28" s="60" t="n"/>
      <c r="E28" s="60" t="n"/>
    </row>
    <row r="29" ht="15" customHeight="1" s="42">
      <c r="A29" s="60" t="inlineStr">
        <is>
          <t>2 techniciens (Pump, Dump) · 3 boomers (Bihainebi, Menu, Gardienne) · 1 jeunot en soutien (Junior) · 1 chef 5 badges affinité soin + ésotérisme (Jack) · 1 seconde 4 badges (Vouivre).</t>
        </is>
      </c>
      <c r="B29" s="60" t="n"/>
      <c r="C29" s="60" t="n"/>
      <c r="D29" s="60" t="n"/>
      <c r="E29" s="60" t="n"/>
    </row>
    <row r="30" ht="15" customHeight="1" s="42">
      <c r="A30" s="60" t="inlineStr">
        <is>
          <t>Frère Jack arrive en renfort directement sur les lieux (soigneur, ésotérisme : détection de présences et générateur sombre).</t>
        </is>
      </c>
    </row>
    <row r="31" ht="15" customHeight="1" s="42">
      <c r="A31" s="73" t="inlineStr">
        <is>
          <t>Frère Junior surveille les arrières et prépare le repli.</t>
        </is>
      </c>
    </row>
    <row r="32" ht="15" customHeight="1" s="42">
      <c r="A32" s="73" t="inlineStr">
        <is>
          <t>Famille Raccourci — note de groupe :</t>
        </is>
      </c>
    </row>
    <row r="33" ht="15" customHeight="1" s="42">
      <c r="A33" s="60" t="inlineStr">
        <is>
          <t>Famille souffrant de verticalité contrariée qui a décidé de rejoindre les ADT. Elle a demandé au Pape Sombre à obtenir la possession du fort Rochefort-Canot lorsque les ADT auront pris le contrôle de la région. Nul ne sait quels rituels ils souhaitent mener en ces lieux.</t>
        </is>
      </c>
      <c r="B33" s="60" t="n"/>
      <c r="C33" s="60" t="n"/>
      <c r="D33" s="60" t="n"/>
      <c r="E33" s="60" t="n"/>
    </row>
    <row r="34" ht="15" customHeight="1" s="42">
      <c r="A34" s="60" t="inlineStr">
        <is>
          <t>Conducteur du Grogrodrive : Bardella.</t>
        </is>
      </c>
      <c r="B34" s="60" t="n"/>
      <c r="C34" s="60" t="n"/>
      <c r="D34" s="60" t="n"/>
      <c r="E34" s="60" t="n"/>
    </row>
    <row r="35" ht="15" customHeight="1" s="42">
      <c r="A35" s="60" t="inlineStr">
        <is>
          <t>Cité sans fiche ni palier : Bardella</t>
        </is>
      </c>
      <c r="B35" s="60" t="n"/>
      <c r="C35" s="60" t="n"/>
      <c r="D35" s="60" t="n"/>
      <c r="E35" s="60" t="n"/>
    </row>
    <row r="36" ht="15" customHeight="1" s="42">
      <c r="A36" s="73" t="n"/>
    </row>
    <row r="37" ht="15" customHeight="1" s="42">
      <c r="A37" s="73" t="n"/>
    </row>
  </sheetData>
  <autoFilter ref="A2:E3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30"/>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6" customWidth="1" style="41" min="1" max="1"/>
    <col width="30" customWidth="1" style="41" min="2" max="2"/>
    <col width="90" customWidth="1" style="41" min="3" max="3"/>
    <col width="60" customWidth="1" style="41" min="4" max="4"/>
    <col width="11" customWidth="1" style="41" min="5" max="5"/>
  </cols>
  <sheetData>
    <row r="1" ht="17.25" customHeight="1" s="42">
      <c r="A1" s="43" t="inlineStr">
        <is>
          <t>Points ouverts — mis à jour, les lignes réglées ont été retirées</t>
        </is>
      </c>
      <c r="B1" s="44" t="n"/>
      <c r="C1" s="44" t="n"/>
      <c r="D1" s="44" t="n"/>
      <c r="E1" s="44" t="n"/>
    </row>
    <row r="2" ht="15" customHeight="1" s="42">
      <c r="A2" s="44" t="n"/>
      <c r="B2" s="44" t="n"/>
      <c r="C2" s="44" t="n"/>
      <c r="D2" s="44" t="n"/>
      <c r="E2" s="44" t="n"/>
    </row>
    <row r="3" ht="30" customHeight="1" s="42">
      <c r="A3" s="46" t="inlineStr">
        <is>
          <t>N°</t>
        </is>
      </c>
      <c r="B3" s="46" t="inlineStr">
        <is>
          <t>Sujet</t>
        </is>
      </c>
      <c r="C3" s="46" t="inlineStr">
        <is>
          <t>Constat</t>
        </is>
      </c>
      <c r="D3" s="46" t="inlineStr">
        <is>
          <t>Ce qu'il faudrait confirmer</t>
        </is>
      </c>
      <c r="E3" s="46" t="inlineStr">
        <is>
          <t>Statut</t>
        </is>
      </c>
    </row>
    <row r="4" ht="15" customHeight="1" s="42">
      <c r="A4" s="60" t="n">
        <v>1</v>
      </c>
      <c r="B4" s="60" t="inlineStr">
        <is>
          <t>Atouts croisés à définir</t>
        </is>
      </c>
      <c r="C4" s="60" t="inlineStr">
        <is>
          <t>Cinq personnages n'ont pas d'atout croisé : Frère Menu, Frère Rapace, Sœur Automne, Modulo et Frère Jack. Colonne « Atouts croisés » ajoutée en fin de l'onglet Récap, cellules marquées À DÉFINIR.</t>
        </is>
      </c>
      <c r="D4" s="60" t="inlineStr">
        <is>
          <t>Définir les cinq atouts croisés — utiles aussi au niveau des groupes.</t>
        </is>
      </c>
      <c r="E4" s="48" t="inlineStr">
        <is>
          <t>Ouvert</t>
        </is>
      </c>
    </row>
    <row r="5" ht="15" customHeight="1" s="42">
      <c r="A5" s="60" t="n">
        <v>2</v>
      </c>
      <c r="B5" s="60" t="inlineStr">
        <is>
          <t>Équipe de Sœur Automne — builds hors-standard</t>
        </is>
      </c>
      <c r="C5" s="60" t="inlineStr">
        <is>
          <t>Les 6 builds sont reçus et saisis. Points à faire valider par le MJ : (1) Big Splash sur Brutapode — capacité réelle (= Body Press) mais Brutapode n'est pas dans la liste des apprentis ; (2) méga-gemme « Kravarekite » — Kravarech n'a pas de méga-évolution officielle ; (3) Croc Fatal et Piège de Venin sur Nidoran ♀ — non trouvées dans les données consultées (BDSP), peuvent exister dans une autre génération, à confirmer.</t>
        </is>
      </c>
      <c r="D5" s="60" t="inlineStr">
        <is>
          <t>Faire valider les 3 points hors-standard par le MJ.</t>
        </is>
      </c>
      <c r="E5" s="49" t="inlineStr">
        <is>
          <t>Partiel</t>
        </is>
      </c>
    </row>
    <row r="6" ht="15" customHeight="1" s="42">
      <c r="A6" s="60" t="n">
        <v>3</v>
      </c>
      <c r="B6" s="60" t="inlineStr">
        <is>
          <t>Talents de l'équipe de Dark</t>
        </is>
      </c>
      <c r="C6" s="60" t="inlineStr">
        <is>
          <t>Quatre talents connus : Malvalame Torche/Armurouillée, Lucario Cœur Noble, Tyranocif Sable Volant, Ectoplasma Lévitation (tranché par le MJ). Restent Delta Mucuscule et Flambusard.</t>
        </is>
      </c>
      <c r="D6" s="60" t="inlineStr">
        <is>
          <t>Les deux derniers talents de l'équipe de Dark.</t>
        </is>
      </c>
      <c r="E6" s="49" t="inlineStr">
        <is>
          <t>Partiel</t>
        </is>
      </c>
    </row>
    <row r="7" ht="15" customHeight="1" s="42">
      <c r="A7" s="60" t="n">
        <v>4</v>
      </c>
      <c r="B7" s="60" t="inlineStr">
        <is>
          <t>Demandes de Modulo en attente</t>
        </is>
      </c>
      <c r="C7" s="60" t="inlineStr">
        <is>
          <t>Deux remplacements d'attaque sont demandés et pas encore validés : Psybeam → Psyko sur Moka, Aurora Beam → Laser Glace sur Ondine.</t>
        </is>
      </c>
      <c r="D7" s="60" t="inlineStr">
        <is>
          <t>Accord ou refus du MJ.</t>
        </is>
      </c>
      <c r="E7" s="48" t="inlineStr">
        <is>
          <t>Ouvert</t>
        </is>
      </c>
    </row>
    <row r="8" ht="15" customHeight="1" s="42">
      <c r="A8" s="60" t="n">
        <v>5</v>
      </c>
      <c r="B8" s="60" t="inlineStr">
        <is>
          <t>Talent « Sniper Puissance »</t>
        </is>
      </c>
      <c r="C8" s="60" t="inlineStr">
        <is>
          <t>Chez Sœur Gardienne (Hypocéan) et Frère Rapace (Rapasdepic/Spiritomb), on lit « Talent Sniper Puissance … ». « Puissance » a été compté comme une attaque : c'est le seul découpage qui donne le bon nombre d'attaques dans les deux cas.</t>
        </is>
      </c>
      <c r="D8" s="60" t="inlineStr">
        <is>
          <t>Confirmer que Puissance est bien une attaque et non la seconde moitié du talent.</t>
        </is>
      </c>
      <c r="E8" s="48" t="inlineStr">
        <is>
          <t>Ouvert</t>
        </is>
      </c>
    </row>
    <row r="9" ht="15" customHeight="1" s="42">
      <c r="A9" s="60" t="n">
        <v>6</v>
      </c>
      <c r="B9" s="60" t="inlineStr">
        <is>
          <t>Fusions</t>
        </is>
      </c>
      <c r="C9" s="60" t="inlineStr">
        <is>
          <t>Quatre entrées sont des fusions ou des doubles : Angoliath × Baggaïd (Frère Boule), Mimidrive (Frère Pierrot), Rapasdepic/Spiritomb (Frère Rapace), Drattak × Téraclope (Frère Jack).</t>
        </is>
      </c>
      <c r="D9" s="60" t="inlineStr">
        <is>
          <t>La fusion compte-t-elle pour un ou deux emplacements d'équipe ?</t>
        </is>
      </c>
      <c r="E9" s="48" t="inlineStr">
        <is>
          <t>Ouvert</t>
        </is>
      </c>
    </row>
    <row r="10" ht="15" customHeight="1" s="42">
      <c r="A10" s="60" t="n">
        <v>7</v>
      </c>
      <c r="B10" s="60" t="inlineStr">
        <is>
          <t>« Stickers »</t>
        </is>
      </c>
      <c r="C10" s="60" t="inlineStr">
        <is>
          <t>Rien dans ce qui a été posté ne porte ce nom : le tableur couvre les compétences, les badges et les équipes.</t>
        </is>
      </c>
      <c r="D10" s="60" t="inlineStr">
        <is>
          <t>Ce que « stickers » désigne exactement — j'ajoute la colonne dès que c'est clair.</t>
        </is>
      </c>
      <c r="E10" s="48" t="inlineStr">
        <is>
          <t>Ouvert</t>
        </is>
      </c>
    </row>
    <row r="11" ht="15" customHeight="1" s="42">
      <c r="A11" s="60" t="n"/>
      <c r="B11" s="60" t="n"/>
      <c r="C11" s="60" t="n"/>
      <c r="D11" s="60" t="n"/>
      <c r="E11" s="48" t="n"/>
    </row>
    <row r="12" ht="15" customHeight="1" s="42">
      <c r="A12" s="60" t="n"/>
      <c r="B12" s="60" t="n"/>
      <c r="C12" s="60" t="n"/>
      <c r="D12" s="60" t="n"/>
      <c r="E12" s="48" t="n"/>
    </row>
    <row r="13" ht="15" customHeight="1" s="42">
      <c r="A13" s="60" t="n"/>
      <c r="B13" s="60" t="n"/>
      <c r="C13" s="60" t="n"/>
      <c r="D13" s="60" t="n"/>
      <c r="E13" s="48" t="n"/>
    </row>
    <row r="14" ht="15" customHeight="1" s="42">
      <c r="A14" s="60" t="n"/>
      <c r="B14" s="60" t="n"/>
      <c r="C14" s="60" t="n"/>
      <c r="D14" s="60" t="n"/>
      <c r="E14" s="48" t="n"/>
    </row>
    <row r="15" ht="15" customHeight="1" s="42">
      <c r="A15" s="60" t="n"/>
      <c r="B15" s="60" t="n"/>
      <c r="C15" s="60" t="n"/>
      <c r="D15" s="60" t="n"/>
      <c r="E15" s="48" t="n"/>
    </row>
    <row r="16" ht="15" customHeight="1" s="42">
      <c r="A16" s="60" t="n"/>
      <c r="B16" s="60" t="n"/>
      <c r="C16" s="60" t="n"/>
      <c r="D16" s="60" t="n"/>
      <c r="E16" s="48" t="n"/>
    </row>
    <row r="17" ht="15" customHeight="1" s="42">
      <c r="A17" s="60" t="n"/>
      <c r="B17" s="60" t="n"/>
      <c r="C17" s="60" t="n"/>
      <c r="D17" s="60" t="n"/>
      <c r="E17" s="76" t="n"/>
    </row>
    <row r="18" ht="15" customHeight="1" s="42">
      <c r="A18" s="60" t="n"/>
      <c r="B18" s="60" t="n"/>
      <c r="C18" s="60" t="n"/>
      <c r="D18" s="60" t="n"/>
      <c r="E18" s="76" t="n"/>
    </row>
    <row r="19" ht="15" customHeight="1" s="42">
      <c r="A19" s="60" t="n"/>
      <c r="B19" s="60" t="n"/>
      <c r="C19" s="60" t="n"/>
      <c r="D19" s="60" t="n"/>
      <c r="E19" s="60" t="n"/>
    </row>
    <row r="20" ht="15" customHeight="1" s="42">
      <c r="A20" s="60" t="n"/>
      <c r="B20" s="60" t="n"/>
      <c r="C20" s="60" t="n"/>
      <c r="D20" s="60" t="n"/>
      <c r="E20" s="60" t="n"/>
    </row>
    <row r="21" ht="15" customHeight="1" s="42">
      <c r="A21" s="60" t="n"/>
      <c r="B21" s="60" t="n"/>
      <c r="C21" s="60" t="n"/>
      <c r="D21" s="60" t="n"/>
      <c r="E21" s="76" t="n"/>
    </row>
    <row r="22" ht="15" customHeight="1" s="42">
      <c r="A22" s="60" t="n"/>
      <c r="B22" s="60" t="n"/>
      <c r="C22" s="60" t="n"/>
      <c r="D22" s="60" t="n"/>
      <c r="E22" s="60" t="n"/>
    </row>
    <row r="23" ht="15" customHeight="1" s="42">
      <c r="A23" s="60" t="n"/>
      <c r="B23" s="60" t="n"/>
      <c r="C23" s="60" t="n"/>
      <c r="D23" s="60" t="n"/>
      <c r="E23" s="60" t="n"/>
    </row>
    <row r="24" ht="15" customHeight="1" s="42">
      <c r="A24" s="60" t="n"/>
      <c r="B24" s="60" t="n"/>
      <c r="C24" s="60" t="n"/>
      <c r="D24" s="60" t="n"/>
      <c r="E24" s="60" t="n"/>
    </row>
    <row r="25" ht="15" customHeight="1" s="42">
      <c r="A25" s="60" t="n"/>
      <c r="B25" s="60" t="n"/>
      <c r="C25" s="60" t="n"/>
      <c r="D25" s="60" t="n"/>
      <c r="E25" s="60" t="n"/>
    </row>
    <row r="26" ht="15" customHeight="1" s="42">
      <c r="A26" s="60" t="n"/>
      <c r="B26" s="60" t="n"/>
      <c r="C26" s="60" t="n"/>
      <c r="D26" s="60" t="n"/>
      <c r="E26" s="76" t="n"/>
    </row>
    <row r="27" ht="15" customHeight="1" s="42">
      <c r="A27" s="60" t="n"/>
      <c r="B27" s="60" t="n"/>
      <c r="C27" s="60" t="n"/>
      <c r="D27" s="60" t="n"/>
      <c r="E27" s="76" t="n"/>
    </row>
    <row r="28" ht="15" customHeight="1" s="42">
      <c r="A28" s="60" t="n"/>
      <c r="B28" s="60" t="n"/>
      <c r="C28" s="60" t="n"/>
      <c r="D28" s="60" t="n"/>
      <c r="E28" s="60" t="n"/>
    </row>
    <row r="29" ht="15" customHeight="1" s="42">
      <c r="A29" s="60" t="n"/>
      <c r="B29" s="60" t="n"/>
      <c r="C29" s="60" t="n"/>
      <c r="D29" s="60" t="n"/>
      <c r="E29" s="60" t="n"/>
    </row>
    <row r="30" ht="15" customHeight="1" s="42">
      <c r="A30" s="60" t="n"/>
      <c r="B30" s="60" t="n"/>
      <c r="C30" s="60" t="n"/>
      <c r="D30" s="60" t="n"/>
      <c r="E30" s="60" t="n"/>
    </row>
  </sheetData>
  <autoFilter ref="A3:E3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2026-08-10T21:31:52Z</dcterms:created>
  <dcterms:modified xmlns:dcterms="http://purl.org/dc/terms/" xmlns:xsi="http://www.w3.org/2001/XMLSchema-instance" xsi:type="dcterms:W3CDTF">2026-09-08T16:52:16Z</dcterms:modified>
  <cp:revision>0</cp:revision>
</cp:coreProperties>
</file>